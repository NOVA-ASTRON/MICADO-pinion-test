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Users\Winden\Documents\"/>
    </mc:Choice>
  </mc:AlternateContent>
  <xr:revisionPtr revIDLastSave="0" documentId="8_{AC4D342F-8E8C-4D35-99EA-9C720326611C}" xr6:coauthVersionLast="47" xr6:coauthVersionMax="47" xr10:uidLastSave="{00000000-0000-0000-0000-000000000000}"/>
  <bookViews>
    <workbookView xWindow="-110" yWindow="-110" windowWidth="19420" windowHeight="10300" xr2:uid="{75850C9F-AEFE-4EAC-8AC1-130A74328376}"/>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2" l="1"/>
  <c r="E29" i="2"/>
  <c r="D29" i="2"/>
  <c r="E35" i="2"/>
  <c r="D37" i="1"/>
  <c r="E32" i="2"/>
  <c r="D45" i="1" s="1"/>
  <c r="E31" i="2"/>
  <c r="D42" i="1" s="1"/>
  <c r="E30" i="2"/>
  <c r="D39" i="1" s="1"/>
  <c r="F30" i="2"/>
  <c r="D8" i="1"/>
  <c r="E17" i="2"/>
  <c r="F31" i="2"/>
  <c r="D118" i="1"/>
  <c r="E19" i="2"/>
  <c r="D6" i="2"/>
  <c r="D34" i="2" s="1"/>
  <c r="E34" i="2" s="1"/>
  <c r="D50" i="1" s="1"/>
  <c r="D12" i="2"/>
  <c r="D13" i="2" s="1"/>
  <c r="D14" i="2" s="1"/>
  <c r="D20" i="2"/>
  <c r="D26" i="2" l="1"/>
  <c r="E26" i="2" s="1"/>
  <c r="D21" i="2"/>
  <c r="D22" i="2" s="1"/>
  <c r="E22" i="2" s="1"/>
  <c r="D13" i="1" s="1"/>
  <c r="D15" i="2"/>
  <c r="D33" i="2" l="1"/>
  <c r="E33" i="2" s="1"/>
  <c r="D48" i="1" s="1"/>
  <c r="D24" i="2"/>
  <c r="E24" i="2" s="1"/>
  <c r="D30" i="1" s="1"/>
  <c r="E23" i="2"/>
  <c r="D25" i="1" s="1"/>
  <c r="D25" i="2"/>
  <c r="E25" i="2" l="1"/>
  <c r="D32" i="1" s="1"/>
  <c r="D28" i="2"/>
  <c r="E28" i="2" s="1"/>
  <c r="D35" i="1" s="1"/>
  <c r="D5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Derek van Winden</author>
  </authors>
  <commentList>
    <comment ref="F100" authorId="0" shapeId="0" xr:uid="{681A352F-89D6-4732-BF72-4C2E70C41AAD}">
      <text>
        <r>
          <rPr>
            <b/>
            <sz val="9"/>
            <color indexed="81"/>
            <rFont val="Tahoma"/>
            <charset val="1"/>
          </rPr>
          <t>Derek van Winden:</t>
        </r>
        <r>
          <rPr>
            <sz val="9"/>
            <color indexed="81"/>
            <rFont val="Tahoma"/>
            <charset val="1"/>
          </rPr>
          <t xml:space="preserve">
Must be checked before connecting motor to setup. What is + in software and + in setup?
</t>
        </r>
      </text>
    </comment>
    <comment ref="F103" authorId="0" shapeId="0" xr:uid="{41AC9373-AABA-42BF-9172-5A5507553A46}">
      <text>
        <r>
          <rPr>
            <b/>
            <sz val="9"/>
            <color indexed="81"/>
            <rFont val="Tahoma"/>
            <family val="2"/>
          </rPr>
          <t>Derek van Winden:</t>
        </r>
        <r>
          <rPr>
            <sz val="9"/>
            <color indexed="81"/>
            <rFont val="Tahoma"/>
            <family val="2"/>
          </rPr>
          <t xml:space="preserve">
Should we add a conversion factor for mm? Then the encoder can say at what portion of the stroke you are at.
</t>
        </r>
      </text>
    </comment>
    <comment ref="F107" authorId="0" shapeId="0" xr:uid="{2DF234F3-EED2-4A1D-8DF1-6942359EE923}">
      <text>
        <r>
          <rPr>
            <b/>
            <sz val="9"/>
            <color indexed="81"/>
            <rFont val="Tahoma"/>
            <family val="2"/>
          </rPr>
          <t>Derek van Winden:</t>
        </r>
        <r>
          <rPr>
            <sz val="9"/>
            <color indexed="81"/>
            <rFont val="Tahoma"/>
            <family val="2"/>
          </rPr>
          <t xml:space="preserve">
Check what I am currently using in the controller.
</t>
        </r>
      </text>
    </comment>
  </commentList>
</comments>
</file>

<file path=xl/sharedStrings.xml><?xml version="1.0" encoding="utf-8"?>
<sst xmlns="http://schemas.openxmlformats.org/spreadsheetml/2006/main" count="312" uniqueCount="242">
  <si>
    <t xml:space="preserve">No. </t>
  </si>
  <si>
    <t xml:space="preserve">Meaning </t>
  </si>
  <si>
    <t xml:space="preserve">Default </t>
  </si>
  <si>
    <t xml:space="preserve">P01 </t>
  </si>
  <si>
    <t>Type of movement</t>
  </si>
  <si>
    <r>
      <t>0</t>
    </r>
    <r>
      <rPr>
        <sz val="7"/>
        <color rgb="FF000000"/>
        <rFont val="Times New Roman"/>
        <family val="1"/>
      </rPr>
      <t xml:space="preserve">               </t>
    </r>
    <r>
      <rPr>
        <sz val="12"/>
        <color rgb="FF000000"/>
        <rFont val="Arial"/>
        <family val="2"/>
      </rPr>
      <t xml:space="preserve">= rotational </t>
    </r>
  </si>
  <si>
    <t xml:space="preserve">      Rotating table, 1 limit switch for mechanical zero </t>
  </si>
  <si>
    <t xml:space="preserve">      (referencing)</t>
  </si>
  <si>
    <r>
      <t>1</t>
    </r>
    <r>
      <rPr>
        <sz val="7"/>
        <color rgb="FF000000"/>
        <rFont val="Times New Roman"/>
        <family val="1"/>
      </rPr>
      <t xml:space="preserve">               </t>
    </r>
    <r>
      <rPr>
        <sz val="12"/>
        <color rgb="FF000000"/>
        <rFont val="Arial"/>
        <family val="2"/>
      </rPr>
      <t xml:space="preserve">= linear       for XY tables or other linear systems,        2 limit switches: </t>
    </r>
  </si>
  <si>
    <t xml:space="preserve">      Mechanical zero and limit direction –       Limit direction +</t>
  </si>
  <si>
    <t xml:space="preserve">P02 </t>
  </si>
  <si>
    <t>Measuring units of movement</t>
  </si>
  <si>
    <r>
      <t>1</t>
    </r>
    <r>
      <rPr>
        <sz val="7"/>
        <color rgb="FF000000"/>
        <rFont val="Times New Roman"/>
        <family val="1"/>
      </rPr>
      <t xml:space="preserve">  </t>
    </r>
    <r>
      <rPr>
        <sz val="12"/>
        <color rgb="FF000000"/>
        <rFont val="Arial"/>
        <family val="2"/>
      </rPr>
      <t>= step</t>
    </r>
  </si>
  <si>
    <r>
      <t>2</t>
    </r>
    <r>
      <rPr>
        <sz val="7"/>
        <color rgb="FF000000"/>
        <rFont val="Times New Roman"/>
        <family val="1"/>
      </rPr>
      <t xml:space="preserve">  </t>
    </r>
    <r>
      <rPr>
        <sz val="12"/>
        <color rgb="FF000000"/>
        <rFont val="Arial"/>
        <family val="2"/>
      </rPr>
      <t>= mm</t>
    </r>
  </si>
  <si>
    <r>
      <t>3</t>
    </r>
    <r>
      <rPr>
        <sz val="7"/>
        <color rgb="FF000000"/>
        <rFont val="Times New Roman"/>
        <family val="1"/>
      </rPr>
      <t xml:space="preserve">  </t>
    </r>
    <r>
      <rPr>
        <sz val="12"/>
        <color rgb="FF000000"/>
        <rFont val="Arial"/>
        <family val="2"/>
      </rPr>
      <t>= inch</t>
    </r>
  </si>
  <si>
    <r>
      <t>4</t>
    </r>
    <r>
      <rPr>
        <sz val="7"/>
        <color rgb="FF000000"/>
        <rFont val="Times New Roman"/>
        <family val="1"/>
      </rPr>
      <t xml:space="preserve">  </t>
    </r>
    <r>
      <rPr>
        <sz val="12"/>
        <color rgb="FF000000"/>
        <rFont val="Arial"/>
        <family val="2"/>
      </rPr>
      <t>= degree</t>
    </r>
  </si>
  <si>
    <t xml:space="preserve">P03 </t>
  </si>
  <si>
    <t>Conversion factor for the thread 1 step corresponds to ...</t>
  </si>
  <si>
    <t>If P03 = 1 (steps) the conversion factor is 1.</t>
  </si>
  <si>
    <t>Computing the conversion factor:</t>
  </si>
  <si>
    <t>Thread</t>
  </si>
  <si>
    <r>
      <t xml:space="preserve">Conversion factor </t>
    </r>
    <r>
      <rPr>
        <sz val="12"/>
        <color rgb="FF000000"/>
        <rFont val="Segoe UI Symbol"/>
        <family val="2"/>
      </rPr>
      <t xml:space="preserve">= </t>
    </r>
  </si>
  <si>
    <t xml:space="preserve"> </t>
  </si>
  <si>
    <t>Numberof stepsperrevolution</t>
  </si>
  <si>
    <r>
      <t>Example</t>
    </r>
    <r>
      <rPr>
        <sz val="12"/>
        <color rgb="FF000000"/>
        <rFont val="Arial"/>
        <family val="2"/>
      </rPr>
      <t xml:space="preserve">: </t>
    </r>
  </si>
  <si>
    <t>4 mm thread pitch</t>
  </si>
  <si>
    <t>200-step motor = 400 steps/rev. in the half step mode</t>
  </si>
  <si>
    <r>
      <t xml:space="preserve"> = </t>
    </r>
    <r>
      <rPr>
        <sz val="12"/>
        <color rgb="FF000000"/>
        <rFont val="Times New Roman"/>
        <family val="1"/>
      </rPr>
      <t>0.01</t>
    </r>
  </si>
  <si>
    <t xml:space="preserve">P04 </t>
  </si>
  <si>
    <t>Start/stop frequency</t>
  </si>
  <si>
    <t>The start/stop frequency is the maximum frequency to start or stop the motor without ramp. At higher frequencies, step losses or motor stop would be the result of a start or stop without ramp. The start/stop frequency depends on various factors: type of motor, load, mechanical system, power stage.</t>
  </si>
  <si>
    <t>The frequency is programmed in Hz.</t>
  </si>
  <si>
    <t xml:space="preserve">P05 </t>
  </si>
  <si>
    <t xml:space="preserve">P06 </t>
  </si>
  <si>
    <t xml:space="preserve"> not used</t>
  </si>
  <si>
    <t xml:space="preserve">P07 </t>
  </si>
  <si>
    <t>Emergency stop ramp</t>
  </si>
  <si>
    <r>
      <t>The frequency is programmed in 4000-Hz/sec-steps.</t>
    </r>
    <r>
      <rPr>
        <sz val="12"/>
        <color rgb="FF000000"/>
        <rFont val="Times New Roman"/>
        <family val="1"/>
      </rPr>
      <t xml:space="preserve"> </t>
    </r>
  </si>
  <si>
    <t>100 000</t>
  </si>
  <si>
    <t xml:space="preserve">P08 </t>
  </si>
  <si>
    <r>
      <t>f</t>
    </r>
    <r>
      <rPr>
        <vertAlign val="subscript"/>
        <sz val="12"/>
        <color rgb="FF000000"/>
        <rFont val="Arial"/>
        <family val="2"/>
      </rPr>
      <t>max</t>
    </r>
    <r>
      <rPr>
        <sz val="12"/>
        <color rgb="FF000000"/>
        <rFont val="Arial"/>
        <family val="2"/>
      </rPr>
      <t xml:space="preserve"> MØP (mechanical zero point) </t>
    </r>
  </si>
  <si>
    <t>Run frequency during initializing (referencing)</t>
  </si>
  <si>
    <t>Enter in Hz  (integer value)</t>
  </si>
  <si>
    <t xml:space="preserve">P09 </t>
  </si>
  <si>
    <t>Ramp MØP</t>
  </si>
  <si>
    <t>Ramp during initializing, associated to parameter P08 Enter in 4000-Hz/sec-steps</t>
  </si>
  <si>
    <t xml:space="preserve">P10 </t>
  </si>
  <si>
    <r>
      <t>f</t>
    </r>
    <r>
      <rPr>
        <vertAlign val="subscript"/>
        <sz val="12"/>
        <color rgb="FF000000"/>
        <rFont val="Arial"/>
        <family val="2"/>
      </rPr>
      <t>min</t>
    </r>
    <r>
      <rPr>
        <sz val="12"/>
        <color rgb="FF000000"/>
        <rFont val="Arial"/>
        <family val="2"/>
      </rPr>
      <t xml:space="preserve"> MØP Run frequency for leaving the limit switch range</t>
    </r>
  </si>
  <si>
    <t>Enter in Hz</t>
  </si>
  <si>
    <t xml:space="preserve">P11 </t>
  </si>
  <si>
    <t xml:space="preserve">MØP offset for limit switch direction + </t>
  </si>
  <si>
    <t>Distance between reference point MØP and limit switch activation</t>
  </si>
  <si>
    <t>Unit: is defined in parameter P02</t>
  </si>
  <si>
    <t xml:space="preserve">P12 </t>
  </si>
  <si>
    <t>MØP offset for limit switch direction –</t>
  </si>
  <si>
    <t xml:space="preserve">P13 </t>
  </si>
  <si>
    <t>Recovery time MØP</t>
  </si>
  <si>
    <t>Time lapse during initialization</t>
  </si>
  <si>
    <t xml:space="preserve">Enter in msec </t>
  </si>
  <si>
    <t xml:space="preserve">P14 </t>
  </si>
  <si>
    <r>
      <t>f</t>
    </r>
    <r>
      <rPr>
        <vertAlign val="subscript"/>
        <sz val="12"/>
        <color rgb="FF000000"/>
        <rFont val="Arial"/>
        <family val="2"/>
      </rPr>
      <t>max</t>
    </r>
    <r>
      <rPr>
        <sz val="12"/>
        <color rgb="FF000000"/>
        <rFont val="Arial"/>
        <family val="2"/>
      </rPr>
      <t xml:space="preserve"> Run frequency during program operation</t>
    </r>
  </si>
  <si>
    <t>Enter in Hz (integer value)  (40 000 maximum)</t>
  </si>
  <si>
    <t xml:space="preserve">P15 </t>
  </si>
  <si>
    <t>Ramp for run frequency (P14)</t>
  </si>
  <si>
    <t>Input in 4000-Hz/sec-steps (4000 to 500 000 Hz/sec)</t>
  </si>
  <si>
    <t xml:space="preserve">P16 </t>
  </si>
  <si>
    <t>Recovery time position</t>
  </si>
  <si>
    <t>Time lapse after positioning</t>
  </si>
  <si>
    <t>Input in msec</t>
  </si>
  <si>
    <t xml:space="preserve">P17 </t>
  </si>
  <si>
    <t>Boost (defined in P42)</t>
  </si>
  <si>
    <r>
      <t>0</t>
    </r>
    <r>
      <rPr>
        <sz val="7"/>
        <color rgb="FF000000"/>
        <rFont val="Times New Roman"/>
        <family val="1"/>
      </rPr>
      <t xml:space="preserve">               </t>
    </r>
    <r>
      <rPr>
        <sz val="12"/>
        <color rgb="FF000000"/>
        <rFont val="Arial"/>
        <family val="2"/>
      </rPr>
      <t>= off</t>
    </r>
  </si>
  <si>
    <r>
      <t>1</t>
    </r>
    <r>
      <rPr>
        <sz val="7"/>
        <color rgb="FF000000"/>
        <rFont val="Times New Roman"/>
        <family val="1"/>
      </rPr>
      <t xml:space="preserve">               </t>
    </r>
    <r>
      <rPr>
        <sz val="12"/>
        <color rgb="FF000000"/>
        <rFont val="Arial"/>
        <family val="2"/>
      </rPr>
      <t>= on during motor run</t>
    </r>
  </si>
  <si>
    <r>
      <t>2</t>
    </r>
    <r>
      <rPr>
        <sz val="7"/>
        <color rgb="FF000000"/>
        <rFont val="Times New Roman"/>
        <family val="1"/>
      </rPr>
      <t xml:space="preserve">               </t>
    </r>
    <r>
      <rPr>
        <sz val="12"/>
        <color rgb="FF000000"/>
        <rFont val="Arial"/>
        <family val="2"/>
      </rPr>
      <t xml:space="preserve">= on during acceleration and deceleration ramp </t>
    </r>
    <r>
      <rPr>
        <u/>
        <sz val="12"/>
        <color rgb="FF000000"/>
        <rFont val="Arial"/>
        <family val="2"/>
      </rPr>
      <t>Remarks:</t>
    </r>
    <r>
      <rPr>
        <sz val="12"/>
        <color rgb="FF000000"/>
        <rFont val="Arial"/>
        <family val="2"/>
      </rPr>
      <t xml:space="preserve"> </t>
    </r>
  </si>
  <si>
    <t xml:space="preserve">The boost current can be set in parameter P42. </t>
  </si>
  <si>
    <t>You can select with parameter P17 in which situation the controller switches to boost current.</t>
  </si>
  <si>
    <t>P17 = 1 means, the boost current always is switched on during motor run. During motor standstill the controller switches to stop current.</t>
  </si>
  <si>
    <t xml:space="preserve">P18 </t>
  </si>
  <si>
    <t xml:space="preserve">not used   </t>
  </si>
  <si>
    <t xml:space="preserve">P19 </t>
  </si>
  <si>
    <t>Electronical zero counter</t>
  </si>
  <si>
    <t>Used for setting operating points. At standstill of the axis, P19 can be read or programmed during program execution.</t>
  </si>
  <si>
    <t xml:space="preserve">P20 </t>
  </si>
  <si>
    <t>Mechanical zero counter</t>
  </si>
  <si>
    <t>This counter contains the number of steps referred to the mechanical zero (MØP). Can be read at axis standstill. If the axis reaches the MØP, P20 will be set to zero.</t>
  </si>
  <si>
    <t xml:space="preserve">P21 </t>
  </si>
  <si>
    <t>Absolute counter</t>
  </si>
  <si>
    <t>Encoder, multi turn and also for single turn.</t>
  </si>
  <si>
    <t>The value of P22 is extended  to P21 by software. The encoder counters have a fixed resolution, e.g. 10 bit (for single-turn encoders:  the resolution is bits per turn), then the read value repeats. A saw tooth profile of the the numerical values is produced  during a continuous motor  running.  This course  is "straightened" by software. P20 and P21 will be scaled to the same value per revolution by P3 and P39 and are therefore directly comparable, see P36.</t>
  </si>
  <si>
    <t xml:space="preserve">P22 </t>
  </si>
  <si>
    <t>Encoder counter</t>
  </si>
  <si>
    <t>Indicates the true encoder position.</t>
  </si>
  <si>
    <t xml:space="preserve">P23 </t>
  </si>
  <si>
    <t>Axial limitation  pos. direction +</t>
  </si>
  <si>
    <t xml:space="preserve">If the number of steps is reached, the run in + direction is aborted. </t>
  </si>
  <si>
    <t>0 = no limitation</t>
  </si>
  <si>
    <t xml:space="preserve">P24 </t>
  </si>
  <si>
    <t>Axial limitation  neg. direction –</t>
  </si>
  <si>
    <t>If the number of steps is reached, the run in – direction is aborted.   0 = no limitation</t>
  </si>
  <si>
    <t xml:space="preserve">P25 </t>
  </si>
  <si>
    <t>Compensation for play</t>
  </si>
  <si>
    <t>Indicates the step number, the target position in the selected direction is passed over and afterwards is started in reverse direction.</t>
  </si>
  <si>
    <t>0 = no compensation for play</t>
  </si>
  <si>
    <t xml:space="preserve">P26 </t>
  </si>
  <si>
    <t xml:space="preserve">P27 </t>
  </si>
  <si>
    <t>Initiator type</t>
  </si>
  <si>
    <r>
      <t>0</t>
    </r>
    <r>
      <rPr>
        <sz val="7"/>
        <color rgb="FF000000"/>
        <rFont val="Times New Roman"/>
        <family val="1"/>
      </rPr>
      <t xml:space="preserve">  </t>
    </r>
    <r>
      <rPr>
        <sz val="12"/>
        <color rgb="FF000000"/>
        <rFont val="Arial"/>
        <family val="2"/>
      </rPr>
      <t>= PNP normally closed contact (NCC)</t>
    </r>
  </si>
  <si>
    <r>
      <t>1</t>
    </r>
    <r>
      <rPr>
        <sz val="7"/>
        <color rgb="FF000000"/>
        <rFont val="Times New Roman"/>
        <family val="1"/>
      </rPr>
      <t xml:space="preserve">  </t>
    </r>
    <r>
      <rPr>
        <sz val="12"/>
        <color rgb="FF000000"/>
        <rFont val="Arial"/>
        <family val="2"/>
      </rPr>
      <t>= PNP normally open contact (NOC)</t>
    </r>
  </si>
  <si>
    <r>
      <t xml:space="preserve">P 28 </t>
    </r>
    <r>
      <rPr>
        <sz val="12"/>
        <color rgb="FF000000"/>
        <rFont val="Arial"/>
        <family val="2"/>
      </rPr>
      <t>to</t>
    </r>
    <r>
      <rPr>
        <b/>
        <sz val="12"/>
        <color rgb="FF000000"/>
        <rFont val="Arial"/>
        <family val="2"/>
      </rPr>
      <t xml:space="preserve"> P33 </t>
    </r>
    <r>
      <rPr>
        <sz val="12"/>
        <color rgb="FF000000"/>
        <rFont val="Arial"/>
        <family val="2"/>
      </rPr>
      <t>not used</t>
    </r>
    <r>
      <rPr>
        <b/>
        <sz val="12"/>
        <color rgb="FF000000"/>
        <rFont val="Arial"/>
        <family val="2"/>
      </rPr>
      <t xml:space="preserve"> </t>
    </r>
  </si>
  <si>
    <t>Encoder type</t>
  </si>
  <si>
    <r>
      <t>0</t>
    </r>
    <r>
      <rPr>
        <sz val="7"/>
        <color rgb="FF000000"/>
        <rFont val="Times New Roman"/>
        <family val="1"/>
      </rPr>
      <t xml:space="preserve">  </t>
    </r>
    <r>
      <rPr>
        <sz val="12"/>
        <color rgb="FF000000"/>
        <rFont val="Arial"/>
        <family val="2"/>
      </rPr>
      <t xml:space="preserve">= no </t>
    </r>
  </si>
  <si>
    <r>
      <t>1</t>
    </r>
    <r>
      <rPr>
        <sz val="7"/>
        <color rgb="FF000000"/>
        <rFont val="Times New Roman"/>
        <family val="1"/>
      </rPr>
      <t xml:space="preserve">  </t>
    </r>
    <r>
      <rPr>
        <sz val="12"/>
        <color rgb="FF000000"/>
        <rFont val="Arial"/>
        <family val="2"/>
      </rPr>
      <t xml:space="preserve">= incremental </t>
    </r>
  </si>
  <si>
    <r>
      <t>2</t>
    </r>
    <r>
      <rPr>
        <sz val="7"/>
        <color rgb="FF000000"/>
        <rFont val="Times New Roman"/>
        <family val="1"/>
      </rPr>
      <t xml:space="preserve">  </t>
    </r>
    <r>
      <rPr>
        <sz val="12"/>
        <color rgb="FF000000"/>
        <rFont val="Arial"/>
        <family val="2"/>
      </rPr>
      <t xml:space="preserve">= serial interface SSI binary Code </t>
    </r>
  </si>
  <si>
    <r>
      <t>3</t>
    </r>
    <r>
      <rPr>
        <sz val="7"/>
        <color rgb="FF000000"/>
        <rFont val="Times New Roman"/>
        <family val="1"/>
      </rPr>
      <t xml:space="preserve">  </t>
    </r>
    <r>
      <rPr>
        <sz val="12"/>
        <color rgb="FF000000"/>
        <rFont val="Arial"/>
        <family val="2"/>
      </rPr>
      <t xml:space="preserve">= serial interface SSI Gray Code </t>
    </r>
  </si>
  <si>
    <r>
      <t xml:space="preserve">Connect the </t>
    </r>
    <r>
      <rPr>
        <b/>
        <sz val="12"/>
        <color rgb="FF000000"/>
        <rFont val="Arial"/>
        <family val="2"/>
      </rPr>
      <t>correct</t>
    </r>
    <r>
      <rPr>
        <sz val="12"/>
        <color rgb="FF000000"/>
        <rFont val="Arial"/>
        <family val="2"/>
      </rPr>
      <t xml:space="preserve"> encoder type!</t>
    </r>
  </si>
  <si>
    <t>Do not parameterize an incremental encoder as SSI. Danger of damage!</t>
  </si>
  <si>
    <t>Encoder resolution for SSI encoder</t>
  </si>
  <si>
    <t>Enter max. encoder resolution in bit  (max. 31Bit)</t>
  </si>
  <si>
    <t>Encoder function</t>
  </si>
  <si>
    <t>0 = counter</t>
  </si>
  <si>
    <t>Encoder preferential direction of rotation</t>
  </si>
  <si>
    <r>
      <t>0</t>
    </r>
    <r>
      <rPr>
        <sz val="7"/>
        <color rgb="FF000000"/>
        <rFont val="Times New Roman"/>
        <family val="1"/>
      </rPr>
      <t xml:space="preserve">  </t>
    </r>
    <r>
      <rPr>
        <sz val="12"/>
        <color rgb="FF000000"/>
        <rFont val="Arial"/>
        <family val="2"/>
      </rPr>
      <t>= + (positive)</t>
    </r>
  </si>
  <si>
    <r>
      <t>1</t>
    </r>
    <r>
      <rPr>
        <sz val="7"/>
        <color rgb="FF000000"/>
        <rFont val="Times New Roman"/>
        <family val="1"/>
      </rPr>
      <t xml:space="preserve">  </t>
    </r>
    <r>
      <rPr>
        <sz val="12"/>
        <color rgb="FF000000"/>
        <rFont val="Arial"/>
        <family val="2"/>
      </rPr>
      <t>= – (negative)</t>
    </r>
  </si>
  <si>
    <t>Encoder conversion factor</t>
  </si>
  <si>
    <t>1 increment corresponds to ...</t>
  </si>
  <si>
    <t xml:space="preserve">MCC-2 / MCC-1 in 0.1 A steps </t>
  </si>
  <si>
    <t xml:space="preserve">MCC-2 LIN  in 0.04 A steps </t>
  </si>
  <si>
    <t xml:space="preserve">MCC-1 or MCC-2 / MCC-2 LIN </t>
  </si>
  <si>
    <t xml:space="preserve">Stop current </t>
  </si>
  <si>
    <t>Values</t>
  </si>
  <si>
    <t>Input</t>
  </si>
  <si>
    <t>0 to 2.5 A</t>
  </si>
  <si>
    <t>0 to 25</t>
  </si>
  <si>
    <t>0 to 1 A</t>
  </si>
  <si>
    <t xml:space="preserve">Run current </t>
  </si>
  <si>
    <r>
      <t>Input</t>
    </r>
    <r>
      <rPr>
        <b/>
        <sz val="12"/>
        <color rgb="FF000000"/>
        <rFont val="Arial"/>
        <family val="2"/>
      </rPr>
      <t xml:space="preserve"> </t>
    </r>
  </si>
  <si>
    <t xml:space="preserve">Boost current </t>
  </si>
  <si>
    <t>10 / deactivated</t>
  </si>
  <si>
    <t>Current delay time in msec</t>
  </si>
  <si>
    <t>not used</t>
  </si>
  <si>
    <t xml:space="preserve">P45 </t>
  </si>
  <si>
    <t>Step resolution  1 to 256</t>
  </si>
  <si>
    <t>1 = Full step    10   = 1/10 step 2 = Half step   16   = 1/16 step</t>
  </si>
  <si>
    <t>4 = 1/4 step    128 = 1/128 step 8 = 1/8 step     256 = 1/256 step</t>
  </si>
  <si>
    <t xml:space="preserve">P46 </t>
  </si>
  <si>
    <t>Current Shaping (CS), also see appendix A</t>
  </si>
  <si>
    <t>0 = Off  1 = On</t>
  </si>
  <si>
    <t>Recommended setting: P46 = 1</t>
  </si>
  <si>
    <t xml:space="preserve">P47 </t>
  </si>
  <si>
    <t>Chopper frequency</t>
  </si>
  <si>
    <t>0 = low  1 = high</t>
  </si>
  <si>
    <t>The chopper frequency value depends on P46:</t>
  </si>
  <si>
    <t>If P46 = 0, then is applied:  P47 = 0:      16 kHz</t>
  </si>
  <si>
    <t xml:space="preserve">      P47 = 1:   22.5 kHz</t>
  </si>
  <si>
    <t>If P46 = 1, then is applied:  P47 = 0:      50 kHz</t>
  </si>
  <si>
    <t xml:space="preserve">      P47 = 1:      75 kHz</t>
  </si>
  <si>
    <t>Recommende   P47 = 1</t>
  </si>
  <si>
    <t xml:space="preserve">P48 </t>
  </si>
  <si>
    <t>Power stage type (read only)</t>
  </si>
  <si>
    <t>0 = linear  1 = chopper</t>
  </si>
  <si>
    <t>(read only)</t>
  </si>
  <si>
    <t xml:space="preserve">P49 </t>
  </si>
  <si>
    <t>Power stage temperature in °C (read only) (only for linear power stage type)</t>
  </si>
  <si>
    <t xml:space="preserve">P34 </t>
  </si>
  <si>
    <t xml:space="preserve">P35 </t>
  </si>
  <si>
    <t xml:space="preserve">P36 </t>
  </si>
  <si>
    <t xml:space="preserve">P37 </t>
  </si>
  <si>
    <t xml:space="preserve">P38 </t>
  </si>
  <si>
    <t xml:space="preserve">P39 </t>
  </si>
  <si>
    <t xml:space="preserve">P40 </t>
  </si>
  <si>
    <t xml:space="preserve">P41 </t>
  </si>
  <si>
    <t xml:space="preserve">P42 </t>
  </si>
  <si>
    <t xml:space="preserve">P43 </t>
  </si>
  <si>
    <t xml:space="preserve">P44 </t>
  </si>
  <si>
    <t>6 / 6</t>
  </si>
  <si>
    <t>2 / 2</t>
  </si>
  <si>
    <t>Pinion test</t>
  </si>
  <si>
    <t>Step resolution</t>
  </si>
  <si>
    <t>Angular acceleration required</t>
  </si>
  <si>
    <t>Drive speed of pinion</t>
  </si>
  <si>
    <t>Operational speed</t>
  </si>
  <si>
    <t>Rotations per cycle</t>
  </si>
  <si>
    <t>[rpm]</t>
  </si>
  <si>
    <t>[mm/s]</t>
  </si>
  <si>
    <r>
      <t>[rad/s</t>
    </r>
    <r>
      <rPr>
        <vertAlign val="superscript"/>
        <sz val="12"/>
        <color theme="1"/>
        <rFont val="Verdana"/>
        <family val="2"/>
      </rPr>
      <t>2</t>
    </r>
    <r>
      <rPr>
        <sz val="12"/>
        <color theme="1"/>
        <rFont val="verdana"/>
        <family val="2"/>
      </rPr>
      <t>]</t>
    </r>
  </si>
  <si>
    <t>Gear ratio wheel -&gt; pinion</t>
  </si>
  <si>
    <t>[-]</t>
  </si>
  <si>
    <t>Motor controller parameters</t>
  </si>
  <si>
    <t>[mm]</t>
  </si>
  <si>
    <t>Value</t>
  </si>
  <si>
    <t>Unit</t>
  </si>
  <si>
    <t>Comment</t>
  </si>
  <si>
    <t>Motor controller sees the system as a worm wheel.</t>
  </si>
  <si>
    <t>Full steps per revolution</t>
  </si>
  <si>
    <t>Control 
parameter</t>
  </si>
  <si>
    <t>P45</t>
  </si>
  <si>
    <t>Pulses/steps per revolution</t>
  </si>
  <si>
    <t>Stroke of gear rack</t>
  </si>
  <si>
    <t>Reference diameter pinion</t>
  </si>
  <si>
    <t>Rotations per full stroke</t>
  </si>
  <si>
    <t>Stroke per rotation of pinion</t>
  </si>
  <si>
    <t>thread pitch</t>
  </si>
  <si>
    <t>Thread pitch: displacement per single rotation of thread.</t>
  </si>
  <si>
    <t>P03</t>
  </si>
  <si>
    <t>Conversion factor for the thread</t>
  </si>
  <si>
    <t>[Hz]</t>
  </si>
  <si>
    <t>[rot/s]</t>
  </si>
  <si>
    <t>[-/rot]</t>
  </si>
  <si>
    <t>P04</t>
  </si>
  <si>
    <t>Test parameters (fixed)</t>
  </si>
  <si>
    <t>Pulse frequency during initializing</t>
  </si>
  <si>
    <t>Stop ramp down frequency</t>
  </si>
  <si>
    <t>[Hz/s]</t>
  </si>
  <si>
    <t>P07</t>
  </si>
  <si>
    <t>P08</t>
  </si>
  <si>
    <r>
      <t>[rot/s</t>
    </r>
    <r>
      <rPr>
        <vertAlign val="superscript"/>
        <sz val="12"/>
        <color theme="1"/>
        <rFont val="Verdana"/>
        <family val="2"/>
      </rPr>
      <t>2</t>
    </r>
    <r>
      <rPr>
        <sz val="12"/>
        <color theme="1"/>
        <rFont val="verdana"/>
        <family val="2"/>
      </rPr>
      <t>]</t>
    </r>
  </si>
  <si>
    <t>Hz/s]</t>
  </si>
  <si>
    <t>Input in controller</t>
  </si>
  <si>
    <t>Ramp up when initializing</t>
  </si>
  <si>
    <t>Rampup time</t>
  </si>
  <si>
    <t>[s]</t>
  </si>
  <si>
    <t>Pulse rampup frequency when running</t>
  </si>
  <si>
    <t>Frequeny for leaving limit switch range</t>
  </si>
  <si>
    <t>P09</t>
  </si>
  <si>
    <t>P10</t>
  </si>
  <si>
    <t>P11</t>
  </si>
  <si>
    <t>P12</t>
  </si>
  <si>
    <t>P13</t>
  </si>
  <si>
    <t>P14</t>
  </si>
  <si>
    <t>P15</t>
  </si>
  <si>
    <t xml:space="preserve">Ramp for run frequency </t>
  </si>
  <si>
    <t xml:space="preserve">Run frequency during program operation </t>
  </si>
  <si>
    <t>Recovery time M0, time lapse during 
initialization</t>
  </si>
  <si>
    <t>[ms]</t>
  </si>
  <si>
    <t>P02</t>
  </si>
  <si>
    <t>MØP offset for limit switch direction +  
Distance between reference point MØP and limit switch 
activation</t>
  </si>
  <si>
    <t>MØP offset for limit switch direction – 
Distance between reference point MØP and limit switch activation Unit: is defined in parameter P02</t>
  </si>
  <si>
    <t>P16</t>
  </si>
  <si>
    <t>Recovery time after positioning</t>
  </si>
  <si>
    <t>Should be an integer multiple of 4000</t>
  </si>
  <si>
    <t>Used default value of 20 msec</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</si>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</sst>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verdana"/>
      <family val="2"/>
    </font>
    <font>
      <sz val="12"/>
      <color rgb="FF000000"/>
      <name val="Arial"/>
      <family val="2"/>
    </font>
    <font>
      <b/>
      <sz val="12"/>
      <color rgb="FF000000"/>
      <name val="Arial"/>
      <family val="2"/>
    </font>
    <font>
      <sz val="7"/>
      <color rgb="FF000000"/>
      <name val="Times New Roman"/>
      <family val="1"/>
    </font>
    <font>
      <i/>
      <sz val="12"/>
      <color rgb="FF000000"/>
      <name val="Times New Roman"/>
      <family val="1"/>
    </font>
    <font>
      <sz val="12"/>
      <color rgb="FF000000"/>
      <name val="Segoe UI Symbol"/>
      <family val="2"/>
    </font>
    <font>
      <u/>
      <sz val="12"/>
      <color rgb="FF000000"/>
      <name val="Arial"/>
      <family val="2"/>
    </font>
    <font>
      <sz val="12"/>
      <color rgb="FF000000"/>
      <name val="Times New Roman"/>
      <family val="1"/>
    </font>
    <font>
      <vertAlign val="subscript"/>
      <sz val="12"/>
      <color rgb="FF000000"/>
      <name val="Arial"/>
      <family val="2"/>
    </font>
    <font>
      <sz val="1"/>
      <color rgb="FF000000"/>
      <name val="Arial"/>
      <family val="2"/>
    </font>
    <font>
      <b/>
      <sz val="12"/>
      <color theme="1"/>
      <name val="verdana"/>
      <family val="2"/>
    </font>
    <font>
      <vertAlign val="superscript"/>
      <sz val="12"/>
      <color theme="1"/>
      <name val="Verdana"/>
      <family val="2"/>
    </font>
    <font>
      <sz val="12"/>
      <color rgb="FF00B050"/>
      <name val="Arial"/>
      <family val="2"/>
    </font>
    <font>
      <sz val="9"/>
      <color indexed="81"/>
      <name val="Tahoma"/>
      <charset val="1"/>
    </font>
    <font>
      <b/>
      <sz val="9"/>
      <color indexed="81"/>
      <name val="Tahoma"/>
      <charset val="1"/>
    </font>
    <font>
      <sz val="9"/>
      <color indexed="81"/>
      <name val="Tahoma"/>
      <family val="2"/>
    </font>
    <font>
      <b/>
      <sz val="9"/>
      <color indexed="81"/>
      <name val="Tahoma"/>
      <family val="2"/>
    </font>
  </fonts>
  <fills count="7">
    <fill>
      <patternFill patternType="none"/>
    </fill>
    <fill>
      <patternFill patternType="gray125"/>
    </fill>
    <fill>
      <patternFill patternType="solid">
        <fgColor rgb="FFDBE4F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2"/>
        <bgColor indexed="64"/>
      </patternFill>
    </fill>
  </fills>
  <borders count="33">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diagonal/>
    </border>
    <border>
      <left/>
      <right/>
      <top style="medium">
        <color rgb="FF000000"/>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104">
    <xf numFmtId="0" fontId="0" fillId="0" borderId="0" xfId="0"/>
    <xf numFmtId="0" fontId="2" fillId="2" borderId="1" xfId="0" applyFont="1" applyFill="1" applyBorder="1" applyAlignment="1">
      <alignment horizontal="justify" vertical="center" wrapText="1"/>
    </xf>
    <xf numFmtId="0" fontId="2" fillId="2" borderId="2" xfId="0" applyFont="1" applyFill="1" applyBorder="1" applyAlignment="1">
      <alignment vertical="center" wrapText="1"/>
    </xf>
    <xf numFmtId="0" fontId="2" fillId="2" borderId="2" xfId="0" applyFont="1" applyFill="1" applyBorder="1" applyAlignment="1">
      <alignment horizontal="center" vertical="center" wrapText="1"/>
    </xf>
    <xf numFmtId="0" fontId="2" fillId="0" borderId="4" xfId="0" applyFont="1" applyBorder="1" applyAlignment="1">
      <alignment horizontal="justify" vertical="center" wrapText="1"/>
    </xf>
    <xf numFmtId="0" fontId="1" fillId="0" borderId="6" xfId="0" applyFont="1" applyBorder="1" applyAlignment="1">
      <alignment vertical="center" wrapText="1"/>
    </xf>
    <xf numFmtId="0" fontId="1" fillId="0" borderId="5" xfId="0" applyFont="1" applyBorder="1" applyAlignment="1">
      <alignment vertical="center" wrapText="1"/>
    </xf>
    <xf numFmtId="0" fontId="4" fillId="0" borderId="6" xfId="0" applyFont="1" applyBorder="1" applyAlignment="1">
      <alignment horizontal="center" vertical="center" wrapText="1"/>
    </xf>
    <xf numFmtId="0" fontId="4" fillId="0" borderId="6" xfId="0" applyFont="1" applyBorder="1" applyAlignment="1">
      <alignment vertical="center" wrapText="1"/>
    </xf>
    <xf numFmtId="0" fontId="6" fillId="0" borderId="6" xfId="0" applyFont="1" applyBorder="1" applyAlignment="1">
      <alignment vertical="center" wrapText="1"/>
    </xf>
    <xf numFmtId="0" fontId="5" fillId="0" borderId="5" xfId="0" applyFont="1" applyBorder="1" applyAlignment="1">
      <alignment vertical="center" wrapText="1"/>
    </xf>
    <xf numFmtId="0" fontId="2" fillId="0" borderId="3" xfId="0" applyFont="1" applyBorder="1" applyAlignment="1">
      <alignment horizontal="justify" vertical="center" wrapText="1"/>
    </xf>
    <xf numFmtId="0" fontId="1" fillId="0" borderId="0" xfId="0" applyFont="1" applyAlignment="1">
      <alignment vertical="center" wrapText="1"/>
    </xf>
    <xf numFmtId="0" fontId="1" fillId="0" borderId="10" xfId="0" applyFont="1" applyBorder="1" applyAlignment="1">
      <alignment vertical="center" wrapText="1"/>
    </xf>
    <xf numFmtId="0" fontId="2" fillId="0" borderId="1" xfId="0" applyFont="1" applyBorder="1" applyAlignment="1">
      <alignment horizontal="justify" vertical="center" wrapText="1"/>
    </xf>
    <xf numFmtId="0" fontId="2" fillId="0" borderId="5" xfId="0" applyFont="1" applyBorder="1" applyAlignment="1">
      <alignment vertical="center" wrapText="1"/>
    </xf>
    <xf numFmtId="0" fontId="2" fillId="0" borderId="5" xfId="0" applyFont="1" applyBorder="1" applyAlignment="1">
      <alignment horizontal="center" vertical="center" wrapText="1"/>
    </xf>
    <xf numFmtId="0" fontId="1" fillId="0" borderId="5" xfId="0" applyFont="1" applyBorder="1" applyAlignment="1">
      <alignment horizontal="center" vertical="center" wrapText="1"/>
    </xf>
    <xf numFmtId="0" fontId="2" fillId="0" borderId="3" xfId="0" applyFont="1" applyBorder="1" applyAlignment="1">
      <alignment vertical="center" wrapText="1"/>
    </xf>
    <xf numFmtId="0" fontId="2" fillId="0" borderId="6" xfId="0" applyFont="1" applyBorder="1" applyAlignment="1">
      <alignment vertical="center" wrapText="1"/>
    </xf>
    <xf numFmtId="0" fontId="0" fillId="4" borderId="16" xfId="0" applyFill="1" applyBorder="1"/>
    <xf numFmtId="0" fontId="12" fillId="0" borderId="5" xfId="0" applyFont="1" applyBorder="1" applyAlignment="1">
      <alignment horizontal="center" vertical="center" wrapText="1"/>
    </xf>
    <xf numFmtId="0" fontId="1" fillId="4" borderId="6" xfId="0" applyFont="1" applyFill="1" applyBorder="1" applyAlignment="1">
      <alignment vertical="center" wrapText="1"/>
    </xf>
    <xf numFmtId="0" fontId="1" fillId="4" borderId="5" xfId="0" applyFont="1" applyFill="1" applyBorder="1" applyAlignment="1">
      <alignment vertical="center" wrapText="1"/>
    </xf>
    <xf numFmtId="0" fontId="1" fillId="4" borderId="5" xfId="0" applyFont="1" applyFill="1" applyBorder="1" applyAlignment="1">
      <alignment horizontal="center" vertical="center" wrapText="1"/>
    </xf>
    <xf numFmtId="0" fontId="0" fillId="3" borderId="0" xfId="0" applyFill="1"/>
    <xf numFmtId="0" fontId="0" fillId="3" borderId="17" xfId="0" applyFill="1" applyBorder="1" applyAlignment="1">
      <alignment horizontal="left" indent="1"/>
    </xf>
    <xf numFmtId="0" fontId="0" fillId="3" borderId="18" xfId="0" applyFill="1" applyBorder="1"/>
    <xf numFmtId="0" fontId="0" fillId="3" borderId="17" xfId="0" quotePrefix="1" applyFill="1" applyBorder="1" applyAlignment="1">
      <alignment horizontal="left" indent="1"/>
    </xf>
    <xf numFmtId="0" fontId="0" fillId="3" borderId="17" xfId="0" applyFill="1" applyBorder="1" applyAlignment="1">
      <alignment horizontal="left" wrapText="1" indent="1"/>
    </xf>
    <xf numFmtId="0" fontId="0" fillId="3" borderId="19" xfId="0" applyFill="1" applyBorder="1" applyAlignment="1">
      <alignment horizontal="left" indent="1"/>
    </xf>
    <xf numFmtId="0" fontId="0" fillId="3" borderId="20" xfId="0" applyFill="1" applyBorder="1"/>
    <xf numFmtId="0" fontId="0" fillId="3" borderId="21" xfId="0" applyFill="1" applyBorder="1"/>
    <xf numFmtId="0" fontId="10" fillId="5" borderId="22" xfId="0" applyFont="1" applyFill="1" applyBorder="1"/>
    <xf numFmtId="0" fontId="10" fillId="5" borderId="23" xfId="0" applyFont="1" applyFill="1" applyBorder="1"/>
    <xf numFmtId="0" fontId="0" fillId="3" borderId="24" xfId="0" applyFill="1" applyBorder="1"/>
    <xf numFmtId="0" fontId="10" fillId="5" borderId="25" xfId="0" applyFont="1" applyFill="1" applyBorder="1"/>
    <xf numFmtId="0" fontId="0" fillId="3" borderId="26" xfId="0" applyFill="1" applyBorder="1"/>
    <xf numFmtId="0" fontId="10" fillId="5" borderId="28" xfId="0" applyFont="1" applyFill="1" applyBorder="1"/>
    <xf numFmtId="0" fontId="0" fillId="3" borderId="29" xfId="0" applyFill="1" applyBorder="1"/>
    <xf numFmtId="1" fontId="0" fillId="3" borderId="24" xfId="0" applyNumberFormat="1" applyFill="1" applyBorder="1"/>
    <xf numFmtId="0" fontId="0" fillId="3" borderId="30" xfId="0" applyFill="1" applyBorder="1"/>
    <xf numFmtId="0" fontId="10" fillId="5" borderId="25" xfId="0" applyFont="1" applyFill="1" applyBorder="1" applyAlignment="1">
      <alignment wrapText="1"/>
    </xf>
    <xf numFmtId="0" fontId="0" fillId="6" borderId="17" xfId="0" applyFill="1" applyBorder="1" applyAlignment="1">
      <alignment horizontal="left" indent="1"/>
    </xf>
    <xf numFmtId="0" fontId="0" fillId="6" borderId="26" xfId="0" applyFill="1" applyBorder="1"/>
    <xf numFmtId="0" fontId="0" fillId="6" borderId="24" xfId="0" applyFill="1" applyBorder="1"/>
    <xf numFmtId="0" fontId="0" fillId="6" borderId="29" xfId="0" applyFill="1" applyBorder="1"/>
    <xf numFmtId="0" fontId="0" fillId="6" borderId="18" xfId="0" applyFill="1" applyBorder="1"/>
    <xf numFmtId="0" fontId="10" fillId="5" borderId="17" xfId="0" applyFont="1" applyFill="1" applyBorder="1" applyAlignment="1">
      <alignment horizontal="left"/>
    </xf>
    <xf numFmtId="0" fontId="0" fillId="5" borderId="26" xfId="0" applyFill="1" applyBorder="1"/>
    <xf numFmtId="0" fontId="0" fillId="5" borderId="24" xfId="0" applyFill="1" applyBorder="1"/>
    <xf numFmtId="0" fontId="0" fillId="5" borderId="29" xfId="0" applyFill="1" applyBorder="1"/>
    <xf numFmtId="0" fontId="0" fillId="5" borderId="18" xfId="0" applyFill="1" applyBorder="1"/>
    <xf numFmtId="0" fontId="0" fillId="6" borderId="17" xfId="0" applyFill="1" applyBorder="1" applyAlignment="1">
      <alignment horizontal="left" wrapText="1" indent="1"/>
    </xf>
    <xf numFmtId="0" fontId="0" fillId="3" borderId="31" xfId="0" applyFill="1" applyBorder="1" applyAlignment="1">
      <alignment vertical="center"/>
    </xf>
    <xf numFmtId="0" fontId="0" fillId="6" borderId="26" xfId="0" applyFill="1" applyBorder="1" applyAlignment="1">
      <alignment horizontal="center" vertical="center"/>
    </xf>
    <xf numFmtId="0" fontId="0" fillId="3" borderId="26" xfId="0" applyFill="1" applyBorder="1" applyAlignment="1">
      <alignment horizontal="center" vertical="center"/>
    </xf>
    <xf numFmtId="0" fontId="0" fillId="5" borderId="26" xfId="0" applyFill="1" applyBorder="1" applyAlignment="1">
      <alignment horizontal="center" vertical="center"/>
    </xf>
    <xf numFmtId="0" fontId="0" fillId="3" borderId="27" xfId="0" applyFill="1" applyBorder="1" applyAlignment="1">
      <alignment horizontal="center" vertical="center"/>
    </xf>
    <xf numFmtId="0" fontId="0" fillId="6" borderId="0" xfId="0" applyFill="1" applyAlignment="1">
      <alignment horizontal="right" vertical="center"/>
    </xf>
    <xf numFmtId="0" fontId="0" fillId="3" borderId="0" xfId="0" applyFill="1" applyAlignment="1">
      <alignment horizontal="right" vertical="center"/>
    </xf>
    <xf numFmtId="0" fontId="0" fillId="4" borderId="32" xfId="0" applyFill="1" applyBorder="1" applyAlignment="1">
      <alignment horizontal="right" vertical="center"/>
    </xf>
    <xf numFmtId="0" fontId="0" fillId="4" borderId="16" xfId="0" applyFill="1" applyBorder="1" applyAlignment="1">
      <alignment horizontal="right" vertical="center"/>
    </xf>
    <xf numFmtId="0" fontId="0" fillId="6" borderId="0" xfId="0" applyFill="1"/>
    <xf numFmtId="0" fontId="2" fillId="0" borderId="8" xfId="0" applyFont="1" applyBorder="1" applyAlignment="1">
      <alignment horizontal="justify" vertical="center" wrapText="1"/>
    </xf>
    <xf numFmtId="0" fontId="2" fillId="0" borderId="4" xfId="0" applyFont="1" applyBorder="1" applyAlignment="1">
      <alignment horizontal="justify" vertical="center" wrapText="1"/>
    </xf>
    <xf numFmtId="0" fontId="2" fillId="0" borderId="3" xfId="0" applyFont="1" applyBorder="1" applyAlignment="1">
      <alignment horizontal="justify" vertical="center" wrapText="1"/>
    </xf>
    <xf numFmtId="0" fontId="1" fillId="0" borderId="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0" fontId="1" fillId="0" borderId="5" xfId="0" applyFont="1" applyBorder="1" applyAlignment="1">
      <alignment vertical="center" wrapText="1"/>
    </xf>
    <xf numFmtId="0" fontId="1" fillId="0" borderId="13" xfId="0" applyFont="1" applyBorder="1" applyAlignment="1">
      <alignment vertical="center" wrapText="1"/>
    </xf>
    <xf numFmtId="0" fontId="1" fillId="0" borderId="2" xfId="0" applyFont="1" applyBorder="1" applyAlignment="1">
      <alignment vertical="center" wrapText="1"/>
    </xf>
    <xf numFmtId="0" fontId="1" fillId="0" borderId="15" xfId="0" applyFont="1" applyBorder="1" applyAlignment="1">
      <alignment vertical="center" wrapText="1"/>
    </xf>
    <xf numFmtId="0" fontId="1" fillId="0" borderId="7" xfId="0" applyFont="1" applyBorder="1" applyAlignment="1">
      <alignment vertical="center" wrapText="1"/>
    </xf>
    <xf numFmtId="0" fontId="1" fillId="0" borderId="14" xfId="0" applyFont="1" applyBorder="1" applyAlignment="1">
      <alignment vertical="center" wrapText="1"/>
    </xf>
    <xf numFmtId="0" fontId="1" fillId="0" borderId="0" xfId="0" applyFont="1" applyAlignment="1">
      <alignment vertical="center" wrapText="1"/>
    </xf>
    <xf numFmtId="0" fontId="1" fillId="0" borderId="6" xfId="0" applyFont="1" applyBorder="1" applyAlignment="1">
      <alignment vertical="center" wrapText="1"/>
    </xf>
    <xf numFmtId="0" fontId="9" fillId="0" borderId="11" xfId="0" applyFont="1" applyBorder="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1" fillId="0" borderId="12" xfId="0" applyFont="1" applyBorder="1" applyAlignment="1">
      <alignment vertical="center" wrapText="1"/>
    </xf>
    <xf numFmtId="49" fontId="1" fillId="0" borderId="8"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1" fontId="12" fillId="0" borderId="8" xfId="0" applyNumberFormat="1" applyFont="1" applyBorder="1" applyAlignment="1">
      <alignment horizontal="center" vertical="center" wrapText="1"/>
    </xf>
    <xf numFmtId="0" fontId="1" fillId="4" borderId="8"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2" borderId="13" xfId="0" applyFont="1" applyFill="1" applyBorder="1" applyAlignment="1">
      <alignment vertical="center" wrapText="1"/>
    </xf>
    <xf numFmtId="0" fontId="2" fillId="2" borderId="12" xfId="0" applyFont="1" applyFill="1" applyBorder="1" applyAlignment="1">
      <alignment vertical="center" wrapText="1"/>
    </xf>
    <xf numFmtId="0" fontId="2" fillId="2" borderId="2" xfId="0" applyFont="1" applyFill="1" applyBorder="1" applyAlignment="1">
      <alignment vertical="center" wrapText="1"/>
    </xf>
    <xf numFmtId="0" fontId="2" fillId="0" borderId="13" xfId="0" applyFont="1" applyBorder="1" applyAlignment="1">
      <alignment vertical="center" wrapText="1"/>
    </xf>
    <xf numFmtId="0" fontId="2" fillId="0" borderId="12" xfId="0" applyFont="1" applyBorder="1" applyAlignment="1">
      <alignment vertical="center" wrapText="1"/>
    </xf>
    <xf numFmtId="0" fontId="2"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17</xdr:row>
      <xdr:rowOff>0</xdr:rowOff>
    </xdr:from>
    <xdr:to>
      <xdr:col>1</xdr:col>
      <xdr:colOff>1856740</xdr:colOff>
      <xdr:row>17</xdr:row>
      <xdr:rowOff>5715</xdr:rowOff>
    </xdr:to>
    <xdr:grpSp>
      <xdr:nvGrpSpPr>
        <xdr:cNvPr id="2" name="Group 1">
          <a:extLst>
            <a:ext uri="{FF2B5EF4-FFF2-40B4-BE49-F238E27FC236}">
              <a16:creationId xmlns:a16="http://schemas.microsoft.com/office/drawing/2014/main" id="{68F981DB-6DB1-DB31-FE2E-EFD95AE1A213}"/>
            </a:ext>
          </a:extLst>
        </xdr:cNvPr>
        <xdr:cNvGrpSpPr/>
      </xdr:nvGrpSpPr>
      <xdr:grpSpPr>
        <a:xfrm>
          <a:off x="2044700" y="4768850"/>
          <a:ext cx="1856740" cy="5715"/>
          <a:chOff x="0" y="0"/>
          <a:chExt cx="1856994" cy="6337"/>
        </a:xfrm>
      </xdr:grpSpPr>
      <xdr:sp macro="" textlink="">
        <xdr:nvSpPr>
          <xdr:cNvPr id="3" name="Shape 6632">
            <a:extLst>
              <a:ext uri="{FF2B5EF4-FFF2-40B4-BE49-F238E27FC236}">
                <a16:creationId xmlns:a16="http://schemas.microsoft.com/office/drawing/2014/main" id="{1AF84FB3-B529-0183-CB43-CF752F711F45}"/>
              </a:ext>
            </a:extLst>
          </xdr:cNvPr>
          <xdr:cNvSpPr/>
        </xdr:nvSpPr>
        <xdr:spPr>
          <a:xfrm>
            <a:off x="0" y="0"/>
            <a:ext cx="1856994" cy="0"/>
          </a:xfrm>
          <a:custGeom>
            <a:avLst/>
            <a:gdLst/>
            <a:ahLst/>
            <a:cxnLst/>
            <a:rect l="0" t="0" r="0" b="0"/>
            <a:pathLst>
              <a:path w="1856994">
                <a:moveTo>
                  <a:pt x="0" y="0"/>
                </a:moveTo>
                <a:lnTo>
                  <a:pt x="1856994" y="0"/>
                </a:lnTo>
              </a:path>
            </a:pathLst>
          </a:custGeom>
          <a:ln w="6337" cap="rnd">
            <a:round/>
          </a:ln>
        </xdr:spPr>
        <xdr:style>
          <a:lnRef idx="1">
            <a:srgbClr val="000000"/>
          </a:lnRef>
          <a:fillRef idx="0">
            <a:srgbClr val="000000">
              <a:alpha val="0"/>
            </a:srgbClr>
          </a:fillRef>
          <a:effectRef idx="0">
            <a:scrgbClr r="0" g="0" b="0"/>
          </a:effectRef>
          <a:fontRef idx="none"/>
        </xdr:style>
        <xdr:txBody>
          <a:bodyPr/>
          <a:lstStyle/>
          <a:p>
            <a:endParaRPr lang="nl-NL"/>
          </a:p>
        </xdr:txBody>
      </xdr:sp>
    </xdr:grpSp>
    <xdr:clientData/>
  </xdr:twoCellAnchor>
  <xdr:twoCellAnchor>
    <xdr:from>
      <xdr:col>1</xdr:col>
      <xdr:colOff>0</xdr:colOff>
      <xdr:row>23</xdr:row>
      <xdr:rowOff>0</xdr:rowOff>
    </xdr:from>
    <xdr:to>
      <xdr:col>1</xdr:col>
      <xdr:colOff>260350</xdr:colOff>
      <xdr:row>24</xdr:row>
      <xdr:rowOff>88900</xdr:rowOff>
    </xdr:to>
    <xdr:pic>
      <xdr:nvPicPr>
        <xdr:cNvPr id="4" name="Picture 92446">
          <a:extLst>
            <a:ext uri="{FF2B5EF4-FFF2-40B4-BE49-F238E27FC236}">
              <a16:creationId xmlns:a16="http://schemas.microsoft.com/office/drawing/2014/main" id="{AEF1F103-00A7-15DC-0C78-62F5540428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44700" y="6172200"/>
          <a:ext cx="2603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44450</xdr:colOff>
      <xdr:row>91</xdr:row>
      <xdr:rowOff>0</xdr:rowOff>
    </xdr:from>
    <xdr:to>
      <xdr:col>0</xdr:col>
      <xdr:colOff>450850</xdr:colOff>
      <xdr:row>92</xdr:row>
      <xdr:rowOff>165100</xdr:rowOff>
    </xdr:to>
    <xdr:pic>
      <xdr:nvPicPr>
        <xdr:cNvPr id="8" name="Picture 92453">
          <a:extLst>
            <a:ext uri="{FF2B5EF4-FFF2-40B4-BE49-F238E27FC236}">
              <a16:creationId xmlns:a16="http://schemas.microsoft.com/office/drawing/2014/main" id="{7DD7DC84-7207-7D5B-8555-A55B0166B30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450" y="34353500"/>
          <a:ext cx="40640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40DF3-6451-4C1B-9892-DF0CFDCC10EC}">
  <dimension ref="A1:F134"/>
  <sheetViews>
    <sheetView tabSelected="1" topLeftCell="A65" zoomScaleNormal="100" workbookViewId="0">
      <selection activeCell="D35" sqref="D35:D36"/>
    </sheetView>
  </sheetViews>
  <sheetFormatPr defaultRowHeight="15" x14ac:dyDescent="0.3"/>
  <cols>
    <col min="1" max="1" width="21.46484375" customWidth="1"/>
    <col min="2" max="2" width="23.796875" customWidth="1"/>
    <col min="4" max="4" width="10.265625" bestFit="1" customWidth="1"/>
  </cols>
  <sheetData>
    <row r="1" spans="1:4" ht="16" thickBot="1" x14ac:dyDescent="0.35">
      <c r="A1" s="1" t="s">
        <v>0</v>
      </c>
      <c r="B1" s="2" t="s">
        <v>1</v>
      </c>
      <c r="C1" s="3" t="s">
        <v>2</v>
      </c>
      <c r="D1" s="3" t="s">
        <v>176</v>
      </c>
    </row>
    <row r="2" spans="1:4" ht="15.5" x14ac:dyDescent="0.3">
      <c r="A2" s="64" t="s">
        <v>3</v>
      </c>
      <c r="B2" s="5" t="s">
        <v>4</v>
      </c>
      <c r="C2" s="67">
        <v>0</v>
      </c>
      <c r="D2" s="88">
        <v>1</v>
      </c>
    </row>
    <row r="3" spans="1:4" ht="15.5" x14ac:dyDescent="0.3">
      <c r="A3" s="65"/>
      <c r="B3" s="5" t="s">
        <v>5</v>
      </c>
      <c r="C3" s="68"/>
      <c r="D3" s="90"/>
    </row>
    <row r="4" spans="1:4" ht="31" x14ac:dyDescent="0.3">
      <c r="A4" s="65"/>
      <c r="B4" s="5" t="s">
        <v>6</v>
      </c>
      <c r="C4" s="68"/>
      <c r="D4" s="90"/>
    </row>
    <row r="5" spans="1:4" ht="15.5" x14ac:dyDescent="0.3">
      <c r="A5" s="65"/>
      <c r="B5" s="5" t="s">
        <v>7</v>
      </c>
      <c r="C5" s="68"/>
      <c r="D5" s="90"/>
    </row>
    <row r="6" spans="1:4" ht="46.5" x14ac:dyDescent="0.3">
      <c r="A6" s="65"/>
      <c r="B6" s="5" t="s">
        <v>8</v>
      </c>
      <c r="C6" s="68"/>
      <c r="D6" s="90"/>
    </row>
    <row r="7" spans="1:4" ht="31.5" thickBot="1" x14ac:dyDescent="0.35">
      <c r="A7" s="66"/>
      <c r="B7" s="6" t="s">
        <v>9</v>
      </c>
      <c r="C7" s="69"/>
      <c r="D7" s="89"/>
    </row>
    <row r="8" spans="1:4" ht="15.5" x14ac:dyDescent="0.3">
      <c r="A8" s="64" t="s">
        <v>10</v>
      </c>
      <c r="B8" s="5" t="s">
        <v>11</v>
      </c>
      <c r="C8" s="67">
        <v>1</v>
      </c>
      <c r="D8" s="88">
        <f>Sheet2!E17</f>
        <v>2</v>
      </c>
    </row>
    <row r="9" spans="1:4" ht="15.5" x14ac:dyDescent="0.3">
      <c r="A9" s="65"/>
      <c r="B9" s="5" t="s">
        <v>12</v>
      </c>
      <c r="C9" s="68"/>
      <c r="D9" s="90"/>
    </row>
    <row r="10" spans="1:4" ht="15.5" x14ac:dyDescent="0.3">
      <c r="A10" s="65"/>
      <c r="B10" s="5" t="s">
        <v>13</v>
      </c>
      <c r="C10" s="68"/>
      <c r="D10" s="90"/>
    </row>
    <row r="11" spans="1:4" ht="15.5" x14ac:dyDescent="0.3">
      <c r="A11" s="65"/>
      <c r="B11" s="5" t="s">
        <v>14</v>
      </c>
      <c r="C11" s="68"/>
      <c r="D11" s="90"/>
    </row>
    <row r="12" spans="1:4" ht="16" thickBot="1" x14ac:dyDescent="0.35">
      <c r="A12" s="66"/>
      <c r="B12" s="6" t="s">
        <v>15</v>
      </c>
      <c r="C12" s="69"/>
      <c r="D12" s="89"/>
    </row>
    <row r="13" spans="1:4" ht="31" x14ac:dyDescent="0.3">
      <c r="A13" s="64" t="s">
        <v>16</v>
      </c>
      <c r="B13" s="5" t="s">
        <v>17</v>
      </c>
      <c r="C13" s="67">
        <v>1</v>
      </c>
      <c r="D13" s="88">
        <f>Sheet2!E22</f>
        <v>5.013179766366691E-3</v>
      </c>
    </row>
    <row r="14" spans="1:4" ht="31" x14ac:dyDescent="0.3">
      <c r="A14" s="65"/>
      <c r="B14" s="5" t="s">
        <v>18</v>
      </c>
      <c r="C14" s="68"/>
      <c r="D14" s="90"/>
    </row>
    <row r="15" spans="1:4" ht="31" x14ac:dyDescent="0.3">
      <c r="A15" s="65"/>
      <c r="B15" s="5" t="s">
        <v>19</v>
      </c>
      <c r="C15" s="68"/>
      <c r="D15" s="90"/>
    </row>
    <row r="16" spans="1:4" ht="15.5" x14ac:dyDescent="0.3">
      <c r="A16" s="65"/>
      <c r="B16" s="7" t="s">
        <v>20</v>
      </c>
      <c r="C16" s="68"/>
      <c r="D16" s="90"/>
    </row>
    <row r="17" spans="1:4" ht="17.5" x14ac:dyDescent="0.3">
      <c r="A17" s="65"/>
      <c r="B17" s="8" t="s">
        <v>21</v>
      </c>
      <c r="C17" s="68"/>
      <c r="D17" s="90"/>
    </row>
    <row r="18" spans="1:4" ht="15.5" x14ac:dyDescent="0.3">
      <c r="A18" s="65"/>
      <c r="B18" s="5" t="s">
        <v>22</v>
      </c>
      <c r="C18" s="68"/>
      <c r="D18" s="90"/>
    </row>
    <row r="19" spans="1:4" ht="15.5" x14ac:dyDescent="0.3">
      <c r="A19" s="65"/>
      <c r="B19" s="7" t="s">
        <v>23</v>
      </c>
      <c r="C19" s="68"/>
      <c r="D19" s="90"/>
    </row>
    <row r="20" spans="1:4" ht="15.5" x14ac:dyDescent="0.3">
      <c r="A20" s="65"/>
      <c r="B20" s="9" t="s">
        <v>24</v>
      </c>
      <c r="C20" s="68"/>
      <c r="D20" s="90"/>
    </row>
    <row r="21" spans="1:4" ht="15.5" x14ac:dyDescent="0.3">
      <c r="A21" s="65"/>
      <c r="B21" s="5" t="s">
        <v>25</v>
      </c>
      <c r="C21" s="68"/>
      <c r="D21" s="90"/>
    </row>
    <row r="22" spans="1:4" ht="31" x14ac:dyDescent="0.3">
      <c r="A22" s="65"/>
      <c r="B22" s="5" t="s">
        <v>26</v>
      </c>
      <c r="C22" s="68"/>
      <c r="D22" s="90"/>
    </row>
    <row r="23" spans="1:4" ht="17.5" x14ac:dyDescent="0.3">
      <c r="A23" s="65"/>
      <c r="B23" s="8" t="s">
        <v>21</v>
      </c>
      <c r="C23" s="68"/>
      <c r="D23" s="90"/>
    </row>
    <row r="24" spans="1:4" ht="18" thickBot="1" x14ac:dyDescent="0.35">
      <c r="A24" s="66"/>
      <c r="B24" s="10" t="s">
        <v>27</v>
      </c>
      <c r="C24" s="69"/>
      <c r="D24" s="89"/>
    </row>
    <row r="25" spans="1:4" ht="15.5" x14ac:dyDescent="0.3">
      <c r="A25" s="64" t="s">
        <v>28</v>
      </c>
      <c r="B25" s="5" t="s">
        <v>29</v>
      </c>
      <c r="C25" s="67">
        <v>400</v>
      </c>
      <c r="D25" s="91">
        <f>Sheet2!E23</f>
        <v>943</v>
      </c>
    </row>
    <row r="26" spans="1:4" ht="155" x14ac:dyDescent="0.3">
      <c r="A26" s="65"/>
      <c r="B26" s="5" t="s">
        <v>30</v>
      </c>
      <c r="C26" s="68"/>
      <c r="D26" s="90"/>
    </row>
    <row r="27" spans="1:4" ht="31.5" thickBot="1" x14ac:dyDescent="0.35">
      <c r="A27" s="66"/>
      <c r="B27" s="6" t="s">
        <v>31</v>
      </c>
      <c r="C27" s="69"/>
      <c r="D27" s="89"/>
    </row>
    <row r="28" spans="1:4" ht="15.5" x14ac:dyDescent="0.3">
      <c r="A28" s="4" t="s">
        <v>32</v>
      </c>
      <c r="B28" s="70" t="s">
        <v>34</v>
      </c>
      <c r="C28" s="71"/>
    </row>
    <row r="29" spans="1:4" ht="16" thickBot="1" x14ac:dyDescent="0.35">
      <c r="A29" s="11" t="s">
        <v>33</v>
      </c>
      <c r="B29" s="72"/>
      <c r="C29" s="73"/>
    </row>
    <row r="30" spans="1:4" ht="15.5" x14ac:dyDescent="0.3">
      <c r="A30" s="64" t="s">
        <v>35</v>
      </c>
      <c r="B30" s="5" t="s">
        <v>36</v>
      </c>
      <c r="C30" s="67" t="s">
        <v>38</v>
      </c>
      <c r="D30" s="88">
        <f>Sheet2!E24</f>
        <v>20000</v>
      </c>
    </row>
    <row r="31" spans="1:4" ht="31.5" thickBot="1" x14ac:dyDescent="0.35">
      <c r="A31" s="66"/>
      <c r="B31" s="6" t="s">
        <v>37</v>
      </c>
      <c r="C31" s="69"/>
      <c r="D31" s="89"/>
    </row>
    <row r="32" spans="1:4" ht="32" x14ac:dyDescent="0.3">
      <c r="A32" s="64" t="s">
        <v>39</v>
      </c>
      <c r="B32" s="13" t="s">
        <v>40</v>
      </c>
      <c r="C32" s="67">
        <v>4000</v>
      </c>
      <c r="D32" s="88">
        <f>Sheet2!E25</f>
        <v>94</v>
      </c>
    </row>
    <row r="33" spans="1:4" ht="31" x14ac:dyDescent="0.3">
      <c r="A33" s="65"/>
      <c r="B33" s="5" t="s">
        <v>41</v>
      </c>
      <c r="C33" s="68"/>
      <c r="D33" s="90"/>
    </row>
    <row r="34" spans="1:4" ht="16" thickBot="1" x14ac:dyDescent="0.35">
      <c r="A34" s="66"/>
      <c r="B34" s="6" t="s">
        <v>42</v>
      </c>
      <c r="C34" s="69"/>
      <c r="D34" s="89"/>
    </row>
    <row r="35" spans="1:4" ht="15.5" x14ac:dyDescent="0.3">
      <c r="A35" s="64" t="s">
        <v>43</v>
      </c>
      <c r="B35" s="5" t="s">
        <v>44</v>
      </c>
      <c r="C35" s="67">
        <v>4000</v>
      </c>
      <c r="D35" s="67">
        <f>Sheet2!E28</f>
        <v>0</v>
      </c>
    </row>
    <row r="36" spans="1:4" ht="47" thickBot="1" x14ac:dyDescent="0.35">
      <c r="A36" s="66"/>
      <c r="B36" s="6" t="s">
        <v>45</v>
      </c>
      <c r="C36" s="69"/>
      <c r="D36" s="69"/>
    </row>
    <row r="37" spans="1:4" ht="32" x14ac:dyDescent="0.3">
      <c r="A37" s="64" t="s">
        <v>46</v>
      </c>
      <c r="B37" s="5" t="s">
        <v>47</v>
      </c>
      <c r="C37" s="67">
        <v>400</v>
      </c>
      <c r="D37" s="67">
        <f>Sheet2!E29</f>
        <v>943</v>
      </c>
    </row>
    <row r="38" spans="1:4" ht="16" thickBot="1" x14ac:dyDescent="0.35">
      <c r="A38" s="66"/>
      <c r="B38" s="6" t="s">
        <v>48</v>
      </c>
      <c r="C38" s="69"/>
      <c r="D38" s="69"/>
    </row>
    <row r="39" spans="1:4" ht="31" x14ac:dyDescent="0.3">
      <c r="A39" s="64" t="s">
        <v>49</v>
      </c>
      <c r="B39" s="5" t="s">
        <v>50</v>
      </c>
      <c r="C39" s="67">
        <v>0</v>
      </c>
      <c r="D39" s="67" t="str">
        <f>Sheet2!E30</f>
        <v>2?</v>
      </c>
    </row>
    <row r="40" spans="1:4" ht="46.5" x14ac:dyDescent="0.3">
      <c r="A40" s="65"/>
      <c r="B40" s="5" t="s">
        <v>51</v>
      </c>
      <c r="C40" s="68"/>
      <c r="D40" s="68"/>
    </row>
    <row r="41" spans="1:4" ht="31.5" thickBot="1" x14ac:dyDescent="0.35">
      <c r="A41" s="66"/>
      <c r="B41" s="6" t="s">
        <v>52</v>
      </c>
      <c r="C41" s="69"/>
      <c r="D41" s="69"/>
    </row>
    <row r="42" spans="1:4" ht="31" x14ac:dyDescent="0.3">
      <c r="A42" s="64" t="s">
        <v>53</v>
      </c>
      <c r="B42" s="5" t="s">
        <v>54</v>
      </c>
      <c r="C42" s="67">
        <v>0</v>
      </c>
      <c r="D42" s="67" t="str">
        <f>Sheet2!E31</f>
        <v>2?</v>
      </c>
    </row>
    <row r="43" spans="1:4" ht="46.5" x14ac:dyDescent="0.3">
      <c r="A43" s="65"/>
      <c r="B43" s="5" t="s">
        <v>51</v>
      </c>
      <c r="C43" s="68"/>
      <c r="D43" s="68"/>
    </row>
    <row r="44" spans="1:4" ht="31.5" thickBot="1" x14ac:dyDescent="0.35">
      <c r="A44" s="66"/>
      <c r="B44" s="6" t="s">
        <v>52</v>
      </c>
      <c r="C44" s="69"/>
      <c r="D44" s="69"/>
    </row>
    <row r="45" spans="1:4" ht="15.5" x14ac:dyDescent="0.3">
      <c r="A45" s="64" t="s">
        <v>55</v>
      </c>
      <c r="B45" s="5" t="s">
        <v>56</v>
      </c>
      <c r="C45" s="67">
        <v>20</v>
      </c>
      <c r="D45" s="67">
        <f>Sheet2!E32</f>
        <v>20</v>
      </c>
    </row>
    <row r="46" spans="1:4" ht="15.5" x14ac:dyDescent="0.3">
      <c r="A46" s="65"/>
      <c r="B46" s="5" t="s">
        <v>57</v>
      </c>
      <c r="C46" s="68"/>
      <c r="D46" s="68"/>
    </row>
    <row r="47" spans="1:4" ht="16" thickBot="1" x14ac:dyDescent="0.35">
      <c r="A47" s="66"/>
      <c r="B47" s="6" t="s">
        <v>58</v>
      </c>
      <c r="C47" s="69"/>
      <c r="D47" s="69"/>
    </row>
    <row r="48" spans="1:4" ht="32" x14ac:dyDescent="0.3">
      <c r="A48" s="64" t="s">
        <v>59</v>
      </c>
      <c r="B48" s="5" t="s">
        <v>60</v>
      </c>
      <c r="C48" s="67">
        <v>4000</v>
      </c>
      <c r="D48" s="67">
        <f>Sheet2!E33</f>
        <v>9431</v>
      </c>
    </row>
    <row r="49" spans="1:4" ht="31.5" thickBot="1" x14ac:dyDescent="0.35">
      <c r="A49" s="66"/>
      <c r="B49" s="6" t="s">
        <v>61</v>
      </c>
      <c r="C49" s="69"/>
      <c r="D49" s="69"/>
    </row>
    <row r="50" spans="1:4" ht="15.5" x14ac:dyDescent="0.3">
      <c r="A50" s="64" t="s">
        <v>62</v>
      </c>
      <c r="B50" s="5" t="s">
        <v>63</v>
      </c>
      <c r="C50" s="67">
        <v>4000</v>
      </c>
      <c r="D50" s="67">
        <f>Sheet2!E34</f>
        <v>8000</v>
      </c>
    </row>
    <row r="51" spans="1:4" ht="31.5" thickBot="1" x14ac:dyDescent="0.35">
      <c r="A51" s="66"/>
      <c r="B51" s="6" t="s">
        <v>64</v>
      </c>
      <c r="C51" s="69"/>
      <c r="D51" s="69"/>
    </row>
    <row r="52" spans="1:4" ht="15.5" x14ac:dyDescent="0.3">
      <c r="A52" s="64" t="s">
        <v>65</v>
      </c>
      <c r="B52" s="5" t="s">
        <v>66</v>
      </c>
      <c r="C52" s="67">
        <v>20</v>
      </c>
      <c r="D52" s="67">
        <f>Sheet2!E35</f>
        <v>20</v>
      </c>
    </row>
    <row r="53" spans="1:4" ht="15.5" x14ac:dyDescent="0.3">
      <c r="A53" s="65"/>
      <c r="B53" s="5" t="s">
        <v>67</v>
      </c>
      <c r="C53" s="68"/>
      <c r="D53" s="68"/>
    </row>
    <row r="54" spans="1:4" ht="16" thickBot="1" x14ac:dyDescent="0.35">
      <c r="A54" s="66"/>
      <c r="B54" s="6" t="s">
        <v>68</v>
      </c>
      <c r="C54" s="69"/>
      <c r="D54" s="69"/>
    </row>
    <row r="55" spans="1:4" ht="15.5" x14ac:dyDescent="0.3">
      <c r="A55" s="64" t="s">
        <v>69</v>
      </c>
      <c r="B55" s="5" t="s">
        <v>70</v>
      </c>
      <c r="C55" s="67">
        <v>0</v>
      </c>
      <c r="D55" s="67">
        <v>0</v>
      </c>
    </row>
    <row r="56" spans="1:4" ht="15.5" x14ac:dyDescent="0.3">
      <c r="A56" s="65"/>
      <c r="B56" s="5" t="s">
        <v>71</v>
      </c>
      <c r="C56" s="68"/>
      <c r="D56" s="68"/>
    </row>
    <row r="57" spans="1:4" ht="15.5" x14ac:dyDescent="0.3">
      <c r="A57" s="65"/>
      <c r="B57" s="5" t="s">
        <v>72</v>
      </c>
      <c r="C57" s="68"/>
      <c r="D57" s="68"/>
    </row>
    <row r="58" spans="1:4" ht="46.5" x14ac:dyDescent="0.3">
      <c r="A58" s="65"/>
      <c r="B58" s="5" t="s">
        <v>73</v>
      </c>
      <c r="C58" s="68"/>
      <c r="D58" s="68"/>
    </row>
    <row r="59" spans="1:4" ht="31" x14ac:dyDescent="0.3">
      <c r="A59" s="65"/>
      <c r="B59" s="5" t="s">
        <v>74</v>
      </c>
      <c r="C59" s="68"/>
      <c r="D59" s="68"/>
    </row>
    <row r="60" spans="1:4" ht="62" x14ac:dyDescent="0.3">
      <c r="A60" s="65"/>
      <c r="B60" s="5" t="s">
        <v>75</v>
      </c>
      <c r="C60" s="68"/>
      <c r="D60" s="68"/>
    </row>
    <row r="61" spans="1:4" ht="77.5" x14ac:dyDescent="0.3">
      <c r="A61" s="65"/>
      <c r="B61" s="5" t="s">
        <v>76</v>
      </c>
      <c r="C61" s="68"/>
      <c r="D61" s="68"/>
    </row>
    <row r="62" spans="1:4" ht="16" thickBot="1" x14ac:dyDescent="0.35">
      <c r="A62" s="66"/>
      <c r="B62" s="6" t="s">
        <v>22</v>
      </c>
      <c r="C62" s="69"/>
      <c r="D62" s="69"/>
    </row>
    <row r="63" spans="1:4" ht="16" thickBot="1" x14ac:dyDescent="0.35">
      <c r="A63" s="14" t="s">
        <v>77</v>
      </c>
      <c r="B63" s="74" t="s">
        <v>78</v>
      </c>
      <c r="C63" s="75"/>
    </row>
    <row r="64" spans="1:4" ht="15.5" x14ac:dyDescent="0.3">
      <c r="A64" s="64" t="s">
        <v>79</v>
      </c>
      <c r="B64" s="5" t="s">
        <v>80</v>
      </c>
      <c r="C64" s="67">
        <v>0</v>
      </c>
      <c r="D64" s="67">
        <v>0</v>
      </c>
    </row>
    <row r="65" spans="1:4" ht="78" thickBot="1" x14ac:dyDescent="0.35">
      <c r="A65" s="66"/>
      <c r="B65" s="6" t="s">
        <v>81</v>
      </c>
      <c r="C65" s="69"/>
      <c r="D65" s="69"/>
    </row>
    <row r="66" spans="1:4" ht="15.5" x14ac:dyDescent="0.3">
      <c r="A66" s="64" t="s">
        <v>82</v>
      </c>
      <c r="B66" s="5" t="s">
        <v>83</v>
      </c>
      <c r="C66" s="67">
        <v>0</v>
      </c>
      <c r="D66" s="67">
        <v>0</v>
      </c>
    </row>
    <row r="67" spans="1:4" ht="93.5" thickBot="1" x14ac:dyDescent="0.35">
      <c r="A67" s="66"/>
      <c r="B67" s="6" t="s">
        <v>84</v>
      </c>
      <c r="C67" s="69"/>
      <c r="D67" s="69"/>
    </row>
    <row r="68" spans="1:4" ht="15.5" x14ac:dyDescent="0.3">
      <c r="A68" s="64" t="s">
        <v>85</v>
      </c>
      <c r="B68" s="5" t="s">
        <v>86</v>
      </c>
      <c r="C68" s="67">
        <v>0</v>
      </c>
      <c r="D68" s="67">
        <v>0</v>
      </c>
    </row>
    <row r="69" spans="1:4" ht="31" x14ac:dyDescent="0.3">
      <c r="A69" s="65"/>
      <c r="B69" s="5" t="s">
        <v>87</v>
      </c>
      <c r="C69" s="68"/>
      <c r="D69" s="68"/>
    </row>
    <row r="70" spans="1:4" ht="248.5" thickBot="1" x14ac:dyDescent="0.35">
      <c r="A70" s="66"/>
      <c r="B70" s="6" t="s">
        <v>88</v>
      </c>
      <c r="C70" s="69"/>
      <c r="D70" s="69"/>
    </row>
    <row r="71" spans="1:4" ht="15.5" x14ac:dyDescent="0.3">
      <c r="A71" s="64" t="s">
        <v>89</v>
      </c>
      <c r="B71" s="5" t="s">
        <v>90</v>
      </c>
      <c r="C71" s="67">
        <v>0</v>
      </c>
      <c r="D71" s="67">
        <v>0</v>
      </c>
    </row>
    <row r="72" spans="1:4" ht="31.5" thickBot="1" x14ac:dyDescent="0.35">
      <c r="A72" s="66"/>
      <c r="B72" s="6" t="s">
        <v>91</v>
      </c>
      <c r="C72" s="69"/>
      <c r="D72" s="69"/>
    </row>
    <row r="73" spans="1:4" ht="15.5" x14ac:dyDescent="0.3">
      <c r="A73" s="64" t="s">
        <v>92</v>
      </c>
      <c r="B73" s="5" t="s">
        <v>93</v>
      </c>
      <c r="C73" s="67">
        <v>0</v>
      </c>
      <c r="D73" s="67">
        <v>0</v>
      </c>
    </row>
    <row r="74" spans="1:4" ht="46.5" x14ac:dyDescent="0.3">
      <c r="A74" s="65"/>
      <c r="B74" s="5" t="s">
        <v>94</v>
      </c>
      <c r="C74" s="68"/>
      <c r="D74" s="68"/>
    </row>
    <row r="75" spans="1:4" ht="16" thickBot="1" x14ac:dyDescent="0.35">
      <c r="A75" s="66"/>
      <c r="B75" s="6" t="s">
        <v>95</v>
      </c>
      <c r="C75" s="69"/>
      <c r="D75" s="69"/>
    </row>
    <row r="76" spans="1:4" ht="15.5" x14ac:dyDescent="0.3">
      <c r="A76" s="64" t="s">
        <v>96</v>
      </c>
      <c r="B76" s="5" t="s">
        <v>97</v>
      </c>
      <c r="C76" s="67">
        <v>0</v>
      </c>
      <c r="D76" s="67">
        <v>0</v>
      </c>
    </row>
    <row r="77" spans="1:4" ht="47" thickBot="1" x14ac:dyDescent="0.35">
      <c r="A77" s="66"/>
      <c r="B77" s="6" t="s">
        <v>98</v>
      </c>
      <c r="C77" s="69"/>
      <c r="D77" s="69"/>
    </row>
    <row r="78" spans="1:4" ht="15.5" x14ac:dyDescent="0.3">
      <c r="A78" s="64" t="s">
        <v>99</v>
      </c>
      <c r="B78" s="5" t="s">
        <v>100</v>
      </c>
      <c r="C78" s="67">
        <v>0</v>
      </c>
      <c r="D78" s="67">
        <v>0</v>
      </c>
    </row>
    <row r="79" spans="1:4" ht="77.5" x14ac:dyDescent="0.3">
      <c r="A79" s="65"/>
      <c r="B79" s="5" t="s">
        <v>101</v>
      </c>
      <c r="C79" s="68"/>
      <c r="D79" s="68"/>
    </row>
    <row r="80" spans="1:4" ht="16" thickBot="1" x14ac:dyDescent="0.35">
      <c r="A80" s="66"/>
      <c r="B80" s="6" t="s">
        <v>102</v>
      </c>
      <c r="C80" s="69"/>
      <c r="D80" s="69"/>
    </row>
    <row r="81" spans="1:6" ht="16" thickBot="1" x14ac:dyDescent="0.35">
      <c r="A81" s="11" t="s">
        <v>103</v>
      </c>
      <c r="B81" s="74" t="s">
        <v>78</v>
      </c>
      <c r="C81" s="75"/>
    </row>
    <row r="82" spans="1:6" ht="15.5" x14ac:dyDescent="0.3">
      <c r="A82" s="64" t="s">
        <v>104</v>
      </c>
      <c r="B82" s="13" t="s">
        <v>105</v>
      </c>
      <c r="C82" s="67">
        <v>0</v>
      </c>
      <c r="D82" s="92">
        <v>0</v>
      </c>
    </row>
    <row r="83" spans="1:6" ht="31" x14ac:dyDescent="0.3">
      <c r="A83" s="65"/>
      <c r="B83" s="5" t="s">
        <v>106</v>
      </c>
      <c r="C83" s="68"/>
      <c r="D83" s="93"/>
    </row>
    <row r="84" spans="1:6" ht="31.5" thickBot="1" x14ac:dyDescent="0.35">
      <c r="A84" s="66"/>
      <c r="B84" s="6" t="s">
        <v>107</v>
      </c>
      <c r="C84" s="69"/>
      <c r="D84" s="94"/>
    </row>
    <row r="85" spans="1:6" ht="16" thickBot="1" x14ac:dyDescent="0.35">
      <c r="A85" s="1" t="s">
        <v>0</v>
      </c>
      <c r="B85" s="98" t="s">
        <v>1</v>
      </c>
      <c r="C85" s="99"/>
      <c r="D85" s="100"/>
      <c r="E85" s="3" t="s">
        <v>2</v>
      </c>
    </row>
    <row r="86" spans="1:6" ht="16" thickBot="1" x14ac:dyDescent="0.35">
      <c r="A86" s="101" t="s">
        <v>108</v>
      </c>
      <c r="B86" s="102"/>
      <c r="C86" s="102"/>
      <c r="D86" s="102"/>
      <c r="E86" s="103"/>
    </row>
    <row r="87" spans="1:6" ht="15.65" customHeight="1" x14ac:dyDescent="0.3">
      <c r="A87" s="64" t="s">
        <v>163</v>
      </c>
      <c r="B87" s="70" t="s">
        <v>109</v>
      </c>
      <c r="C87" s="76"/>
      <c r="D87" s="71"/>
      <c r="E87" s="67">
        <v>0</v>
      </c>
      <c r="F87" s="92">
        <v>1</v>
      </c>
    </row>
    <row r="88" spans="1:6" ht="15.65" customHeight="1" x14ac:dyDescent="0.3">
      <c r="A88" s="65"/>
      <c r="B88" s="78" t="s">
        <v>110</v>
      </c>
      <c r="C88" s="79"/>
      <c r="D88" s="80"/>
      <c r="E88" s="68"/>
      <c r="F88" s="93"/>
    </row>
    <row r="89" spans="1:6" ht="15.65" customHeight="1" x14ac:dyDescent="0.3">
      <c r="A89" s="65"/>
      <c r="B89" s="78" t="s">
        <v>111</v>
      </c>
      <c r="C89" s="79"/>
      <c r="D89" s="80"/>
      <c r="E89" s="68"/>
      <c r="F89" s="93"/>
    </row>
    <row r="90" spans="1:6" ht="15.65" customHeight="1" x14ac:dyDescent="0.3">
      <c r="A90" s="65"/>
      <c r="B90" s="78" t="s">
        <v>112</v>
      </c>
      <c r="C90" s="79"/>
      <c r="D90" s="80"/>
      <c r="E90" s="68"/>
      <c r="F90" s="93"/>
    </row>
    <row r="91" spans="1:6" ht="15.65" customHeight="1" x14ac:dyDescent="0.3">
      <c r="A91" s="65"/>
      <c r="B91" s="78" t="s">
        <v>113</v>
      </c>
      <c r="C91" s="79"/>
      <c r="D91" s="80"/>
      <c r="E91" s="68"/>
      <c r="F91" s="93"/>
    </row>
    <row r="92" spans="1:6" ht="15.65" customHeight="1" x14ac:dyDescent="0.3">
      <c r="A92" s="65"/>
      <c r="B92" s="78" t="s">
        <v>114</v>
      </c>
      <c r="C92" s="79"/>
      <c r="D92" s="80"/>
      <c r="E92" s="68"/>
      <c r="F92" s="93"/>
    </row>
    <row r="93" spans="1:6" ht="31" customHeight="1" x14ac:dyDescent="0.3">
      <c r="A93" s="65"/>
      <c r="B93" s="78" t="s">
        <v>115</v>
      </c>
      <c r="C93" s="79"/>
      <c r="D93" s="80"/>
      <c r="E93" s="68"/>
      <c r="F93" s="93"/>
    </row>
    <row r="94" spans="1:6" ht="15.5" thickBot="1" x14ac:dyDescent="0.35">
      <c r="A94" s="66"/>
      <c r="B94" s="81" t="s">
        <v>22</v>
      </c>
      <c r="C94" s="82"/>
      <c r="D94" s="83"/>
      <c r="E94" s="69"/>
      <c r="F94" s="94"/>
    </row>
    <row r="95" spans="1:6" ht="15.65" customHeight="1" x14ac:dyDescent="0.3">
      <c r="A95" s="64" t="s">
        <v>164</v>
      </c>
      <c r="B95" s="70" t="s">
        <v>116</v>
      </c>
      <c r="C95" s="76"/>
      <c r="D95" s="71"/>
      <c r="E95" s="67">
        <v>10</v>
      </c>
      <c r="F95" s="92">
        <v>10</v>
      </c>
    </row>
    <row r="96" spans="1:6" ht="16" thickBot="1" x14ac:dyDescent="0.35">
      <c r="A96" s="66"/>
      <c r="B96" s="72" t="s">
        <v>117</v>
      </c>
      <c r="C96" s="77"/>
      <c r="D96" s="73"/>
      <c r="E96" s="69"/>
      <c r="F96" s="94"/>
    </row>
    <row r="97" spans="1:6" ht="15.65" customHeight="1" x14ac:dyDescent="0.3">
      <c r="A97" s="64" t="s">
        <v>165</v>
      </c>
      <c r="B97" s="70" t="s">
        <v>118</v>
      </c>
      <c r="C97" s="76"/>
      <c r="D97" s="71"/>
      <c r="E97" s="67">
        <v>0</v>
      </c>
      <c r="F97" s="67">
        <v>0</v>
      </c>
    </row>
    <row r="98" spans="1:6" ht="16" thickBot="1" x14ac:dyDescent="0.35">
      <c r="A98" s="66"/>
      <c r="B98" s="72" t="s">
        <v>119</v>
      </c>
      <c r="C98" s="77"/>
      <c r="D98" s="73"/>
      <c r="E98" s="69"/>
      <c r="F98" s="69"/>
    </row>
    <row r="99" spans="1:6" ht="16" thickBot="1" x14ac:dyDescent="0.35">
      <c r="A99" s="11" t="s">
        <v>166</v>
      </c>
      <c r="B99" s="74" t="s">
        <v>78</v>
      </c>
      <c r="C99" s="84"/>
      <c r="D99" s="84"/>
      <c r="E99" s="75"/>
    </row>
    <row r="100" spans="1:6" ht="15.65" customHeight="1" x14ac:dyDescent="0.3">
      <c r="A100" s="64" t="s">
        <v>167</v>
      </c>
      <c r="B100" s="70" t="s">
        <v>120</v>
      </c>
      <c r="C100" s="76"/>
      <c r="D100" s="71"/>
      <c r="E100" s="67">
        <v>0</v>
      </c>
      <c r="F100" s="95">
        <v>0</v>
      </c>
    </row>
    <row r="101" spans="1:6" ht="15.65" customHeight="1" x14ac:dyDescent="0.3">
      <c r="A101" s="65"/>
      <c r="B101" s="78" t="s">
        <v>121</v>
      </c>
      <c r="C101" s="79"/>
      <c r="D101" s="80"/>
      <c r="E101" s="68"/>
      <c r="F101" s="96"/>
    </row>
    <row r="102" spans="1:6" ht="16" thickBot="1" x14ac:dyDescent="0.35">
      <c r="A102" s="66"/>
      <c r="B102" s="72" t="s">
        <v>122</v>
      </c>
      <c r="C102" s="77"/>
      <c r="D102" s="73"/>
      <c r="E102" s="69"/>
      <c r="F102" s="97"/>
    </row>
    <row r="103" spans="1:6" ht="15.65" customHeight="1" x14ac:dyDescent="0.3">
      <c r="A103" s="64" t="s">
        <v>168</v>
      </c>
      <c r="B103" s="70" t="s">
        <v>123</v>
      </c>
      <c r="C103" s="76"/>
      <c r="D103" s="71"/>
      <c r="E103" s="67">
        <v>1</v>
      </c>
      <c r="F103" s="95">
        <v>1</v>
      </c>
    </row>
    <row r="104" spans="1:6" ht="16" thickBot="1" x14ac:dyDescent="0.35">
      <c r="A104" s="66"/>
      <c r="B104" s="72" t="s">
        <v>124</v>
      </c>
      <c r="C104" s="77"/>
      <c r="D104" s="73"/>
      <c r="E104" s="69"/>
      <c r="F104" s="97"/>
    </row>
    <row r="105" spans="1:6" ht="62.5" thickBot="1" x14ac:dyDescent="0.35">
      <c r="A105" s="18" t="s">
        <v>22</v>
      </c>
      <c r="B105" s="6" t="s">
        <v>22</v>
      </c>
      <c r="C105" s="15" t="s">
        <v>125</v>
      </c>
      <c r="D105" s="15" t="s">
        <v>126</v>
      </c>
      <c r="E105" s="16" t="s">
        <v>127</v>
      </c>
    </row>
    <row r="106" spans="1:6" ht="15.5" x14ac:dyDescent="0.3">
      <c r="A106" s="64" t="s">
        <v>169</v>
      </c>
      <c r="B106" s="19" t="s">
        <v>128</v>
      </c>
      <c r="C106" s="5" t="s">
        <v>22</v>
      </c>
      <c r="D106" s="5" t="s">
        <v>22</v>
      </c>
      <c r="E106" s="85" t="s">
        <v>175</v>
      </c>
      <c r="F106" s="22" t="s">
        <v>22</v>
      </c>
    </row>
    <row r="107" spans="1:6" ht="15.5" x14ac:dyDescent="0.3">
      <c r="A107" s="65"/>
      <c r="B107" s="5" t="s">
        <v>129</v>
      </c>
      <c r="C107" s="5" t="s">
        <v>131</v>
      </c>
      <c r="D107" s="5" t="s">
        <v>133</v>
      </c>
      <c r="E107" s="86"/>
      <c r="F107" s="22" t="s">
        <v>133</v>
      </c>
    </row>
    <row r="108" spans="1:6" ht="16" thickBot="1" x14ac:dyDescent="0.35">
      <c r="A108" s="66"/>
      <c r="B108" s="6" t="s">
        <v>130</v>
      </c>
      <c r="C108" s="6" t="s">
        <v>132</v>
      </c>
      <c r="D108" s="6" t="s">
        <v>132</v>
      </c>
      <c r="E108" s="87"/>
      <c r="F108" s="23" t="s">
        <v>132</v>
      </c>
    </row>
    <row r="109" spans="1:6" ht="15.5" x14ac:dyDescent="0.3">
      <c r="A109" s="64" t="s">
        <v>170</v>
      </c>
      <c r="B109" s="19" t="s">
        <v>134</v>
      </c>
      <c r="C109" s="5" t="s">
        <v>22</v>
      </c>
      <c r="D109" s="5" t="s">
        <v>22</v>
      </c>
      <c r="E109" s="85" t="s">
        <v>174</v>
      </c>
      <c r="F109" s="22" t="s">
        <v>22</v>
      </c>
    </row>
    <row r="110" spans="1:6" ht="15.5" x14ac:dyDescent="0.3">
      <c r="A110" s="65"/>
      <c r="B110" s="5" t="s">
        <v>129</v>
      </c>
      <c r="C110" s="5" t="s">
        <v>131</v>
      </c>
      <c r="D110" s="5" t="s">
        <v>133</v>
      </c>
      <c r="E110" s="86"/>
      <c r="F110" s="22" t="s">
        <v>133</v>
      </c>
    </row>
    <row r="111" spans="1:6" ht="16" thickBot="1" x14ac:dyDescent="0.35">
      <c r="A111" s="66"/>
      <c r="B111" s="6" t="s">
        <v>135</v>
      </c>
      <c r="C111" s="6" t="s">
        <v>132</v>
      </c>
      <c r="D111" s="6" t="s">
        <v>132</v>
      </c>
      <c r="E111" s="87"/>
      <c r="F111" s="23" t="s">
        <v>132</v>
      </c>
    </row>
    <row r="112" spans="1:6" ht="15.5" x14ac:dyDescent="0.3">
      <c r="A112" s="64" t="s">
        <v>171</v>
      </c>
      <c r="B112" s="19" t="s">
        <v>136</v>
      </c>
      <c r="C112" s="5" t="s">
        <v>22</v>
      </c>
      <c r="D112" s="5" t="s">
        <v>22</v>
      </c>
      <c r="E112" s="85" t="s">
        <v>137</v>
      </c>
      <c r="F112" s="22" t="s">
        <v>22</v>
      </c>
    </row>
    <row r="113" spans="1:6" ht="15.5" x14ac:dyDescent="0.3">
      <c r="A113" s="65"/>
      <c r="B113" s="5" t="s">
        <v>129</v>
      </c>
      <c r="C113" s="5" t="s">
        <v>131</v>
      </c>
      <c r="D113" s="5" t="s">
        <v>133</v>
      </c>
      <c r="E113" s="86"/>
      <c r="F113" s="22" t="s">
        <v>133</v>
      </c>
    </row>
    <row r="114" spans="1:6" ht="16" thickBot="1" x14ac:dyDescent="0.35">
      <c r="A114" s="66"/>
      <c r="B114" s="6" t="s">
        <v>135</v>
      </c>
      <c r="C114" s="6" t="s">
        <v>132</v>
      </c>
      <c r="D114" s="6" t="s">
        <v>132</v>
      </c>
      <c r="E114" s="87"/>
      <c r="F114" s="23" t="s">
        <v>132</v>
      </c>
    </row>
    <row r="115" spans="1:6" ht="16" thickBot="1" x14ac:dyDescent="0.35">
      <c r="A115" s="11" t="s">
        <v>172</v>
      </c>
      <c r="B115" s="74" t="s">
        <v>138</v>
      </c>
      <c r="C115" s="84"/>
      <c r="D115" s="75"/>
      <c r="E115" s="17">
        <v>20</v>
      </c>
      <c r="F115" s="24">
        <v>20</v>
      </c>
    </row>
    <row r="116" spans="1:6" ht="16" thickBot="1" x14ac:dyDescent="0.35">
      <c r="A116" s="11" t="s">
        <v>173</v>
      </c>
      <c r="B116" s="74" t="s">
        <v>139</v>
      </c>
      <c r="C116" s="84"/>
      <c r="D116" s="84"/>
      <c r="E116" s="75"/>
    </row>
    <row r="117" spans="1:6" ht="16" thickBot="1" x14ac:dyDescent="0.35">
      <c r="A117" s="1" t="s">
        <v>0</v>
      </c>
      <c r="B117" s="2" t="s">
        <v>1</v>
      </c>
      <c r="C117" s="3" t="s">
        <v>2</v>
      </c>
      <c r="D117" s="12"/>
      <c r="E117" s="12"/>
    </row>
    <row r="118" spans="1:6" ht="15.5" x14ac:dyDescent="0.3">
      <c r="A118" s="64" t="s">
        <v>140</v>
      </c>
      <c r="B118" s="13" t="s">
        <v>141</v>
      </c>
      <c r="C118" s="67">
        <v>4</v>
      </c>
      <c r="D118" s="88">
        <f>Sheet2!D19</f>
        <v>94</v>
      </c>
    </row>
    <row r="119" spans="1:6" ht="31" x14ac:dyDescent="0.3">
      <c r="A119" s="65"/>
      <c r="B119" s="5" t="s">
        <v>142</v>
      </c>
      <c r="C119" s="68"/>
      <c r="D119" s="90"/>
    </row>
    <row r="120" spans="1:6" ht="31.5" thickBot="1" x14ac:dyDescent="0.35">
      <c r="A120" s="66"/>
      <c r="B120" s="6" t="s">
        <v>143</v>
      </c>
      <c r="C120" s="69"/>
      <c r="D120" s="89"/>
    </row>
    <row r="121" spans="1:6" ht="31" x14ac:dyDescent="0.3">
      <c r="A121" s="64" t="s">
        <v>144</v>
      </c>
      <c r="B121" s="5" t="s">
        <v>145</v>
      </c>
      <c r="C121" s="67">
        <v>1</v>
      </c>
      <c r="D121" s="88">
        <v>1</v>
      </c>
    </row>
    <row r="122" spans="1:6" ht="15.5" x14ac:dyDescent="0.3">
      <c r="A122" s="65"/>
      <c r="B122" s="5" t="s">
        <v>146</v>
      </c>
      <c r="C122" s="68"/>
      <c r="D122" s="90"/>
    </row>
    <row r="123" spans="1:6" ht="16" thickBot="1" x14ac:dyDescent="0.35">
      <c r="A123" s="66"/>
      <c r="B123" s="6" t="s">
        <v>147</v>
      </c>
      <c r="C123" s="69"/>
      <c r="D123" s="89"/>
    </row>
    <row r="124" spans="1:6" ht="15.5" x14ac:dyDescent="0.3">
      <c r="A124" s="64" t="s">
        <v>148</v>
      </c>
      <c r="B124" s="5" t="s">
        <v>149</v>
      </c>
      <c r="C124" s="67">
        <v>1</v>
      </c>
      <c r="D124" s="88">
        <v>1</v>
      </c>
    </row>
    <row r="125" spans="1:6" ht="15.5" x14ac:dyDescent="0.3">
      <c r="A125" s="65"/>
      <c r="B125" s="5" t="s">
        <v>150</v>
      </c>
      <c r="C125" s="68"/>
      <c r="D125" s="90"/>
    </row>
    <row r="126" spans="1:6" ht="31" x14ac:dyDescent="0.3">
      <c r="A126" s="65"/>
      <c r="B126" s="5" t="s">
        <v>151</v>
      </c>
      <c r="C126" s="68"/>
      <c r="D126" s="90"/>
    </row>
    <row r="127" spans="1:6" ht="31" x14ac:dyDescent="0.3">
      <c r="A127" s="65"/>
      <c r="B127" s="5" t="s">
        <v>152</v>
      </c>
      <c r="C127" s="68"/>
      <c r="D127" s="90"/>
    </row>
    <row r="128" spans="1:6" ht="15.5" x14ac:dyDescent="0.3">
      <c r="A128" s="65"/>
      <c r="B128" s="5" t="s">
        <v>153</v>
      </c>
      <c r="C128" s="68"/>
      <c r="D128" s="90"/>
    </row>
    <row r="129" spans="1:4" ht="31" x14ac:dyDescent="0.3">
      <c r="A129" s="65"/>
      <c r="B129" s="5" t="s">
        <v>154</v>
      </c>
      <c r="C129" s="68"/>
      <c r="D129" s="90"/>
    </row>
    <row r="130" spans="1:4" ht="15.5" x14ac:dyDescent="0.3">
      <c r="A130" s="65"/>
      <c r="B130" s="5" t="s">
        <v>155</v>
      </c>
      <c r="C130" s="68"/>
      <c r="D130" s="90"/>
    </row>
    <row r="131" spans="1:4" ht="16" thickBot="1" x14ac:dyDescent="0.35">
      <c r="A131" s="66"/>
      <c r="B131" s="6" t="s">
        <v>156</v>
      </c>
      <c r="C131" s="69"/>
      <c r="D131" s="89"/>
    </row>
    <row r="132" spans="1:4" ht="15.5" x14ac:dyDescent="0.3">
      <c r="A132" s="64" t="s">
        <v>157</v>
      </c>
      <c r="B132" s="5" t="s">
        <v>158</v>
      </c>
      <c r="C132" s="67" t="s">
        <v>160</v>
      </c>
      <c r="D132" s="88" t="s">
        <v>160</v>
      </c>
    </row>
    <row r="133" spans="1:4" ht="16" thickBot="1" x14ac:dyDescent="0.35">
      <c r="A133" s="66"/>
      <c r="B133" s="6" t="s">
        <v>159</v>
      </c>
      <c r="C133" s="69"/>
      <c r="D133" s="89"/>
    </row>
    <row r="134" spans="1:4" ht="47" thickBot="1" x14ac:dyDescent="0.35">
      <c r="A134" s="11" t="s">
        <v>161</v>
      </c>
      <c r="B134" s="6" t="s">
        <v>162</v>
      </c>
      <c r="C134" s="17" t="s">
        <v>160</v>
      </c>
      <c r="D134" s="21" t="s">
        <v>160</v>
      </c>
    </row>
  </sheetData>
  <mergeCells count="127">
    <mergeCell ref="D82:D84"/>
    <mergeCell ref="F87:F94"/>
    <mergeCell ref="F95:F96"/>
    <mergeCell ref="F97:F98"/>
    <mergeCell ref="F100:F102"/>
    <mergeCell ref="F103:F104"/>
    <mergeCell ref="B100:D100"/>
    <mergeCell ref="B101:D101"/>
    <mergeCell ref="B102:D102"/>
    <mergeCell ref="E100:E102"/>
    <mergeCell ref="B85:D85"/>
    <mergeCell ref="A86:E86"/>
    <mergeCell ref="D66:D67"/>
    <mergeCell ref="D68:D70"/>
    <mergeCell ref="D71:D72"/>
    <mergeCell ref="D73:D75"/>
    <mergeCell ref="D76:D77"/>
    <mergeCell ref="D78:D80"/>
    <mergeCell ref="D45:D47"/>
    <mergeCell ref="D48:D49"/>
    <mergeCell ref="D50:D51"/>
    <mergeCell ref="D52:D54"/>
    <mergeCell ref="D55:D62"/>
    <mergeCell ref="D64:D65"/>
    <mergeCell ref="D30:D31"/>
    <mergeCell ref="D32:D34"/>
    <mergeCell ref="D35:D36"/>
    <mergeCell ref="D37:D38"/>
    <mergeCell ref="D39:D41"/>
    <mergeCell ref="D42:D44"/>
    <mergeCell ref="D2:D7"/>
    <mergeCell ref="D8:D12"/>
    <mergeCell ref="D13:D24"/>
    <mergeCell ref="D25:D27"/>
    <mergeCell ref="A121:A123"/>
    <mergeCell ref="C121:C123"/>
    <mergeCell ref="A124:A131"/>
    <mergeCell ref="C124:C131"/>
    <mergeCell ref="A132:A133"/>
    <mergeCell ref="C132:C133"/>
    <mergeCell ref="A106:A108"/>
    <mergeCell ref="E106:E108"/>
    <mergeCell ref="A109:A111"/>
    <mergeCell ref="E109:E111"/>
    <mergeCell ref="A112:A114"/>
    <mergeCell ref="E112:E114"/>
    <mergeCell ref="B115:D115"/>
    <mergeCell ref="B116:E116"/>
    <mergeCell ref="A118:A120"/>
    <mergeCell ref="C118:C120"/>
    <mergeCell ref="D118:D120"/>
    <mergeCell ref="D121:D123"/>
    <mergeCell ref="D124:D131"/>
    <mergeCell ref="D132:D133"/>
    <mergeCell ref="A103:A104"/>
    <mergeCell ref="B103:D103"/>
    <mergeCell ref="B104:D104"/>
    <mergeCell ref="E103:E104"/>
    <mergeCell ref="B92:D92"/>
    <mergeCell ref="B93:D93"/>
    <mergeCell ref="B94:D94"/>
    <mergeCell ref="E87:E94"/>
    <mergeCell ref="A95:A96"/>
    <mergeCell ref="B95:D95"/>
    <mergeCell ref="B96:D96"/>
    <mergeCell ref="E95:E96"/>
    <mergeCell ref="A87:A94"/>
    <mergeCell ref="B87:D87"/>
    <mergeCell ref="B88:D88"/>
    <mergeCell ref="B89:D89"/>
    <mergeCell ref="B99:E99"/>
    <mergeCell ref="A100:A102"/>
    <mergeCell ref="A97:A98"/>
    <mergeCell ref="B97:D97"/>
    <mergeCell ref="B98:D98"/>
    <mergeCell ref="E97:E98"/>
    <mergeCell ref="B90:D90"/>
    <mergeCell ref="B91:D91"/>
    <mergeCell ref="A78:A80"/>
    <mergeCell ref="C78:C80"/>
    <mergeCell ref="B81:C81"/>
    <mergeCell ref="A82:A84"/>
    <mergeCell ref="C82:C84"/>
    <mergeCell ref="A71:A72"/>
    <mergeCell ref="C71:C72"/>
    <mergeCell ref="A73:A75"/>
    <mergeCell ref="C73:C75"/>
    <mergeCell ref="A76:A77"/>
    <mergeCell ref="C76:C77"/>
    <mergeCell ref="B63:C63"/>
    <mergeCell ref="A64:A65"/>
    <mergeCell ref="C64:C65"/>
    <mergeCell ref="A66:A67"/>
    <mergeCell ref="C66:C67"/>
    <mergeCell ref="A68:A70"/>
    <mergeCell ref="C68:C70"/>
    <mergeCell ref="A50:A51"/>
    <mergeCell ref="C50:C51"/>
    <mergeCell ref="A52:A54"/>
    <mergeCell ref="C52:C54"/>
    <mergeCell ref="A55:A62"/>
    <mergeCell ref="C55:C62"/>
    <mergeCell ref="A42:A44"/>
    <mergeCell ref="C42:C44"/>
    <mergeCell ref="A45:A47"/>
    <mergeCell ref="C45:C47"/>
    <mergeCell ref="A48:A49"/>
    <mergeCell ref="C48:C49"/>
    <mergeCell ref="A35:A36"/>
    <mergeCell ref="C35:C36"/>
    <mergeCell ref="A37:A38"/>
    <mergeCell ref="C37:C38"/>
    <mergeCell ref="A39:A41"/>
    <mergeCell ref="C39:C41"/>
    <mergeCell ref="A25:A27"/>
    <mergeCell ref="C25:C27"/>
    <mergeCell ref="B28:C29"/>
    <mergeCell ref="A30:A31"/>
    <mergeCell ref="C30:C31"/>
    <mergeCell ref="A32:A34"/>
    <mergeCell ref="C32:C34"/>
    <mergeCell ref="A2:A7"/>
    <mergeCell ref="C2:C7"/>
    <mergeCell ref="A8:A12"/>
    <mergeCell ref="C8:C12"/>
    <mergeCell ref="A13:A24"/>
    <mergeCell ref="C13:C24"/>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23CA6-AE6A-4A23-9FF3-D31F8FB67776}">
  <dimension ref="C2:H35"/>
  <sheetViews>
    <sheetView zoomScale="52" workbookViewId="0">
      <selection activeCell="K16" sqref="K16"/>
    </sheetView>
  </sheetViews>
  <sheetFormatPr defaultRowHeight="15" x14ac:dyDescent="0.3"/>
  <cols>
    <col min="3" max="3" width="35.46484375" customWidth="1"/>
    <col min="4" max="5" width="19.86328125" customWidth="1"/>
    <col min="7" max="7" width="10.796875" customWidth="1"/>
    <col min="8" max="8" width="49" customWidth="1"/>
  </cols>
  <sheetData>
    <row r="2" spans="3:8" ht="15.5" thickBot="1" x14ac:dyDescent="0.35"/>
    <row r="3" spans="3:8" ht="30" x14ac:dyDescent="0.3">
      <c r="C3" s="33" t="s">
        <v>209</v>
      </c>
      <c r="D3" s="36" t="s">
        <v>189</v>
      </c>
      <c r="E3" s="36" t="s">
        <v>217</v>
      </c>
      <c r="F3" s="38" t="s">
        <v>190</v>
      </c>
      <c r="G3" s="42" t="s">
        <v>194</v>
      </c>
      <c r="H3" s="34" t="s">
        <v>191</v>
      </c>
    </row>
    <row r="4" spans="3:8" x14ac:dyDescent="0.3">
      <c r="C4" s="26" t="s">
        <v>185</v>
      </c>
      <c r="D4" s="37">
        <v>42</v>
      </c>
      <c r="E4" s="35"/>
      <c r="F4" s="39" t="s">
        <v>186</v>
      </c>
      <c r="G4" s="54"/>
      <c r="H4" s="27"/>
    </row>
    <row r="5" spans="3:8" ht="16.5" x14ac:dyDescent="0.3">
      <c r="C5" s="43" t="s">
        <v>178</v>
      </c>
      <c r="D5" s="44">
        <v>2.6731253094824292</v>
      </c>
      <c r="E5" s="45"/>
      <c r="F5" s="46" t="s">
        <v>184</v>
      </c>
      <c r="G5" s="55"/>
      <c r="H5" s="47"/>
    </row>
    <row r="6" spans="3:8" ht="16.5" x14ac:dyDescent="0.3">
      <c r="C6" s="26" t="s">
        <v>178</v>
      </c>
      <c r="D6" s="37">
        <f>D5/(2*PI())</f>
        <v>0.42544110650818112</v>
      </c>
      <c r="E6" s="35"/>
      <c r="F6" s="39" t="s">
        <v>215</v>
      </c>
      <c r="G6" s="56"/>
      <c r="H6" s="27"/>
    </row>
    <row r="7" spans="3:8" x14ac:dyDescent="0.3">
      <c r="C7" s="43" t="s">
        <v>179</v>
      </c>
      <c r="D7" s="44">
        <v>30.1</v>
      </c>
      <c r="E7" s="45"/>
      <c r="F7" s="46" t="s">
        <v>182</v>
      </c>
      <c r="G7" s="55"/>
      <c r="H7" s="47"/>
    </row>
    <row r="8" spans="3:8" x14ac:dyDescent="0.3">
      <c r="C8" s="26" t="s">
        <v>180</v>
      </c>
      <c r="D8" s="37">
        <v>47.280969436526384</v>
      </c>
      <c r="E8" s="35"/>
      <c r="F8" s="39" t="s">
        <v>183</v>
      </c>
      <c r="G8" s="56"/>
      <c r="H8" s="27"/>
    </row>
    <row r="9" spans="3:8" x14ac:dyDescent="0.3">
      <c r="C9" s="43" t="s">
        <v>181</v>
      </c>
      <c r="D9" s="44">
        <v>3.183098861837907</v>
      </c>
      <c r="E9" s="45"/>
      <c r="F9" s="46"/>
      <c r="G9" s="55"/>
      <c r="H9" s="47"/>
    </row>
    <row r="10" spans="3:8" x14ac:dyDescent="0.3">
      <c r="C10" s="26" t="s">
        <v>197</v>
      </c>
      <c r="D10" s="37">
        <v>150</v>
      </c>
      <c r="E10" s="35"/>
      <c r="F10" s="39" t="s">
        <v>188</v>
      </c>
      <c r="G10" s="56"/>
      <c r="H10" s="27"/>
    </row>
    <row r="11" spans="3:8" x14ac:dyDescent="0.3">
      <c r="C11" s="43" t="s">
        <v>198</v>
      </c>
      <c r="D11" s="44">
        <v>30</v>
      </c>
      <c r="E11" s="45"/>
      <c r="F11" s="46" t="s">
        <v>188</v>
      </c>
      <c r="G11" s="55"/>
      <c r="H11" s="47"/>
    </row>
    <row r="12" spans="3:8" x14ac:dyDescent="0.3">
      <c r="C12" s="26" t="s">
        <v>200</v>
      </c>
      <c r="D12" s="37">
        <f>2*PI()*(D11/2)</f>
        <v>94.247779607693786</v>
      </c>
      <c r="E12" s="35"/>
      <c r="F12" s="39" t="s">
        <v>188</v>
      </c>
      <c r="G12" s="56"/>
      <c r="H12" s="27"/>
    </row>
    <row r="13" spans="3:8" x14ac:dyDescent="0.3">
      <c r="C13" s="43" t="s">
        <v>199</v>
      </c>
      <c r="D13" s="44">
        <f>D10/D12</f>
        <v>1.5915494309189535</v>
      </c>
      <c r="E13" s="45"/>
      <c r="F13" s="46" t="s">
        <v>186</v>
      </c>
      <c r="G13" s="55"/>
      <c r="H13" s="47"/>
    </row>
    <row r="14" spans="3:8" x14ac:dyDescent="0.3">
      <c r="C14" s="26" t="s">
        <v>181</v>
      </c>
      <c r="D14" s="37">
        <f>2*D13</f>
        <v>3.183098861837907</v>
      </c>
      <c r="E14" s="35"/>
      <c r="F14" s="39" t="s">
        <v>186</v>
      </c>
      <c r="G14" s="56"/>
      <c r="H14" s="27"/>
    </row>
    <row r="15" spans="3:8" x14ac:dyDescent="0.3">
      <c r="C15" s="43" t="s">
        <v>179</v>
      </c>
      <c r="D15" s="44">
        <f>D8/D12</f>
        <v>0.50166666666666671</v>
      </c>
      <c r="E15" s="45"/>
      <c r="F15" s="46" t="s">
        <v>206</v>
      </c>
      <c r="G15" s="55"/>
      <c r="H15" s="47"/>
    </row>
    <row r="16" spans="3:8" x14ac:dyDescent="0.3">
      <c r="C16" s="48" t="s">
        <v>187</v>
      </c>
      <c r="D16" s="49"/>
      <c r="E16" s="50"/>
      <c r="F16" s="51"/>
      <c r="G16" s="57"/>
      <c r="H16" s="52"/>
    </row>
    <row r="17" spans="3:8" x14ac:dyDescent="0.3">
      <c r="C17" s="26" t="s">
        <v>11</v>
      </c>
      <c r="D17" s="37">
        <v>2</v>
      </c>
      <c r="E17" s="35">
        <f>D17</f>
        <v>2</v>
      </c>
      <c r="F17" s="39" t="s">
        <v>188</v>
      </c>
      <c r="G17" s="56" t="s">
        <v>234</v>
      </c>
      <c r="H17" s="27"/>
    </row>
    <row r="18" spans="3:8" ht="15.5" thickBot="1" x14ac:dyDescent="0.35">
      <c r="C18" s="43" t="s">
        <v>193</v>
      </c>
      <c r="D18" s="44">
        <v>200</v>
      </c>
      <c r="E18" s="45"/>
      <c r="F18" s="46" t="s">
        <v>207</v>
      </c>
      <c r="G18" s="55"/>
      <c r="H18" s="47"/>
    </row>
    <row r="19" spans="3:8" ht="15.5" thickBot="1" x14ac:dyDescent="0.35">
      <c r="C19" s="26" t="s">
        <v>177</v>
      </c>
      <c r="D19" s="20">
        <v>94</v>
      </c>
      <c r="E19" s="25">
        <f>D19</f>
        <v>94</v>
      </c>
      <c r="F19" s="39" t="s">
        <v>186</v>
      </c>
      <c r="G19" s="56" t="s">
        <v>195</v>
      </c>
      <c r="H19" s="27"/>
    </row>
    <row r="20" spans="3:8" x14ac:dyDescent="0.3">
      <c r="C20" s="43" t="s">
        <v>196</v>
      </c>
      <c r="D20" s="44">
        <f>D18*D19</f>
        <v>18800</v>
      </c>
      <c r="E20" s="45"/>
      <c r="F20" s="46" t="s">
        <v>207</v>
      </c>
      <c r="G20" s="55"/>
      <c r="H20" s="47"/>
    </row>
    <row r="21" spans="3:8" x14ac:dyDescent="0.3">
      <c r="C21" s="28" t="s">
        <v>201</v>
      </c>
      <c r="D21" s="37">
        <f>D12</f>
        <v>94.247779607693786</v>
      </c>
      <c r="E21" s="35"/>
      <c r="F21" s="39" t="s">
        <v>188</v>
      </c>
      <c r="G21" s="56"/>
      <c r="H21" s="27" t="s">
        <v>202</v>
      </c>
    </row>
    <row r="22" spans="3:8" x14ac:dyDescent="0.3">
      <c r="C22" s="43" t="s">
        <v>204</v>
      </c>
      <c r="D22" s="44">
        <f>D21/D20</f>
        <v>5.013179766366691E-3</v>
      </c>
      <c r="E22" s="45">
        <f>D22</f>
        <v>5.013179766366691E-3</v>
      </c>
      <c r="F22" s="46" t="s">
        <v>186</v>
      </c>
      <c r="G22" s="55" t="s">
        <v>203</v>
      </c>
      <c r="H22" s="47" t="s">
        <v>192</v>
      </c>
    </row>
    <row r="23" spans="3:8" ht="15.5" thickBot="1" x14ac:dyDescent="0.35">
      <c r="C23" s="26" t="s">
        <v>29</v>
      </c>
      <c r="D23" s="37">
        <f>D33/10</f>
        <v>943.13333333333344</v>
      </c>
      <c r="E23" s="40">
        <f>ROUND(D23,0)</f>
        <v>943</v>
      </c>
      <c r="F23" s="39" t="s">
        <v>205</v>
      </c>
      <c r="G23" s="56" t="s">
        <v>208</v>
      </c>
      <c r="H23" s="27"/>
    </row>
    <row r="24" spans="3:8" ht="15.5" thickBot="1" x14ac:dyDescent="0.35">
      <c r="C24" s="43" t="s">
        <v>211</v>
      </c>
      <c r="D24" s="20">
        <f>20*D23</f>
        <v>18862.666666666668</v>
      </c>
      <c r="E24" s="63">
        <f>MROUND(D24,4000)</f>
        <v>20000</v>
      </c>
      <c r="F24" s="46" t="s">
        <v>212</v>
      </c>
      <c r="G24" s="55" t="s">
        <v>213</v>
      </c>
      <c r="H24" s="47" t="s">
        <v>239</v>
      </c>
    </row>
    <row r="25" spans="3:8" ht="15.5" thickBot="1" x14ac:dyDescent="0.35">
      <c r="C25" s="26" t="s">
        <v>210</v>
      </c>
      <c r="D25" s="20">
        <f>D23/10</f>
        <v>94.313333333333347</v>
      </c>
      <c r="E25" s="25">
        <f>ROUND(D25,0)</f>
        <v>94</v>
      </c>
      <c r="F25" s="39" t="s">
        <v>205</v>
      </c>
      <c r="G25" s="56" t="s">
        <v>214</v>
      </c>
      <c r="H25" s="27"/>
    </row>
    <row r="26" spans="3:8" x14ac:dyDescent="0.3">
      <c r="C26" s="43" t="s">
        <v>221</v>
      </c>
      <c r="D26" s="44">
        <f>D6*D20</f>
        <v>7998.2928023538052</v>
      </c>
      <c r="E26" s="45">
        <f>MROUND(D26,4000)</f>
        <v>8000</v>
      </c>
      <c r="F26" s="46" t="s">
        <v>216</v>
      </c>
      <c r="G26" s="55"/>
      <c r="H26" s="47" t="s">
        <v>239</v>
      </c>
    </row>
    <row r="27" spans="3:8" ht="15.5" thickBot="1" x14ac:dyDescent="0.35">
      <c r="C27" s="26" t="s">
        <v>219</v>
      </c>
      <c r="D27" s="37">
        <v>1</v>
      </c>
      <c r="E27" s="35"/>
      <c r="F27" s="39" t="s">
        <v>220</v>
      </c>
      <c r="G27" s="56"/>
      <c r="H27" s="27"/>
    </row>
    <row r="28" spans="3:8" ht="15.5" thickBot="1" x14ac:dyDescent="0.35">
      <c r="C28" s="43" t="s">
        <v>218</v>
      </c>
      <c r="D28" s="20">
        <f>D25*D27</f>
        <v>94.313333333333347</v>
      </c>
      <c r="E28" s="63">
        <f>MROUND(D28,4000)</f>
        <v>0</v>
      </c>
      <c r="F28" s="46" t="s">
        <v>212</v>
      </c>
      <c r="G28" s="55" t="s">
        <v>223</v>
      </c>
      <c r="H28" s="47" t="s">
        <v>239</v>
      </c>
    </row>
    <row r="29" spans="3:8" ht="15.5" thickBot="1" x14ac:dyDescent="0.35">
      <c r="C29" s="26" t="s">
        <v>222</v>
      </c>
      <c r="D29" s="20">
        <f>D33/10</f>
        <v>943.13333333333344</v>
      </c>
      <c r="E29" s="25">
        <f>ROUND(D29,0)</f>
        <v>943</v>
      </c>
      <c r="F29" s="39" t="s">
        <v>205</v>
      </c>
      <c r="G29" s="56" t="s">
        <v>224</v>
      </c>
      <c r="H29" s="27"/>
    </row>
    <row r="30" spans="3:8" ht="60.5" thickBot="1" x14ac:dyDescent="0.35">
      <c r="C30" s="53" t="s">
        <v>235</v>
      </c>
      <c r="D30" s="62" t="s">
        <v>241</v>
      </c>
      <c r="E30" s="59" t="str">
        <f>D30</f>
        <v>2?</v>
      </c>
      <c r="F30" s="46" t="str">
        <f>F17</f>
        <v>[mm]</v>
      </c>
      <c r="G30" s="55" t="s">
        <v>225</v>
      </c>
      <c r="H30" s="47"/>
    </row>
    <row r="31" spans="3:8" ht="60.5" thickBot="1" x14ac:dyDescent="0.35">
      <c r="C31" s="29" t="s">
        <v>236</v>
      </c>
      <c r="D31" s="61" t="s">
        <v>241</v>
      </c>
      <c r="E31" s="60" t="str">
        <f>D31</f>
        <v>2?</v>
      </c>
      <c r="F31" s="39" t="str">
        <f>F17</f>
        <v>[mm]</v>
      </c>
      <c r="G31" s="56" t="s">
        <v>226</v>
      </c>
      <c r="H31" s="27"/>
    </row>
    <row r="32" spans="3:8" ht="30.5" thickBot="1" x14ac:dyDescent="0.35">
      <c r="C32" s="53" t="s">
        <v>232</v>
      </c>
      <c r="D32" s="20">
        <v>20</v>
      </c>
      <c r="E32" s="63">
        <f>D32</f>
        <v>20</v>
      </c>
      <c r="F32" s="46" t="s">
        <v>233</v>
      </c>
      <c r="G32" s="55" t="s">
        <v>227</v>
      </c>
      <c r="H32" s="47" t="s">
        <v>240</v>
      </c>
    </row>
    <row r="33" spans="3:8" x14ac:dyDescent="0.3">
      <c r="C33" s="26" t="s">
        <v>231</v>
      </c>
      <c r="D33" s="37">
        <f>D15*D20</f>
        <v>9431.3333333333339</v>
      </c>
      <c r="E33" s="35">
        <f>ROUND(D33,0)</f>
        <v>9431</v>
      </c>
      <c r="F33" s="39" t="s">
        <v>205</v>
      </c>
      <c r="G33" s="56" t="s">
        <v>228</v>
      </c>
      <c r="H33" s="27"/>
    </row>
    <row r="34" spans="3:8" ht="15.5" thickBot="1" x14ac:dyDescent="0.35">
      <c r="C34" s="43" t="s">
        <v>230</v>
      </c>
      <c r="D34" s="44">
        <f>D6*D20</f>
        <v>7998.2928023538052</v>
      </c>
      <c r="E34" s="45">
        <f>MROUND(D34,4000)</f>
        <v>8000</v>
      </c>
      <c r="F34" s="46" t="s">
        <v>212</v>
      </c>
      <c r="G34" s="55" t="s">
        <v>229</v>
      </c>
      <c r="H34" s="47" t="s">
        <v>239</v>
      </c>
    </row>
    <row r="35" spans="3:8" ht="15.5" thickBot="1" x14ac:dyDescent="0.35">
      <c r="C35" s="30" t="s">
        <v>238</v>
      </c>
      <c r="D35" s="20">
        <v>20</v>
      </c>
      <c r="E35" s="31">
        <f>D35</f>
        <v>20</v>
      </c>
      <c r="F35" s="41" t="s">
        <v>233</v>
      </c>
      <c r="G35" s="58" t="s">
        <v>237</v>
      </c>
      <c r="H35" s="32"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ASTRON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 van Winden</dc:creator>
  <cp:lastModifiedBy>Derek van Winden</cp:lastModifiedBy>
  <dcterms:created xsi:type="dcterms:W3CDTF">2026-01-30T08:39:46Z</dcterms:created>
  <dcterms:modified xsi:type="dcterms:W3CDTF">2026-02-03T15:08:05Z</dcterms:modified>
</cp:coreProperties>
</file>